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VS CODE\Proj\Rushydro_test\src\excel\"/>
    </mc:Choice>
  </mc:AlternateContent>
  <xr:revisionPtr revIDLastSave="0" documentId="13_ncr:1_{7E977A7C-4148-4DBF-B40A-5352B0BCD0FA}" xr6:coauthVersionLast="47" xr6:coauthVersionMax="47" xr10:uidLastSave="{00000000-0000-0000-0000-000000000000}"/>
  <bookViews>
    <workbookView xWindow="-108" yWindow="-108" windowWidth="23256" windowHeight="12456" tabRatio="689" firstSheet="2" activeTab="2" xr2:uid="{E3079E01-1298-4C5F-90D1-2D296CFF34E8}"/>
  </bookViews>
  <sheets>
    <sheet name="Динамика продаж по месяцам" sheetId="36" r:id="rId1"/>
    <sheet name="Сравнение выручки по регионам" sheetId="37" r:id="rId2"/>
    <sheet name="Витрина_Данных" sheetId="31" r:id="rId3"/>
    <sheet name="Продажи_по_категориям" sheetId="32" r:id="rId4"/>
    <sheet name="Топ5_товаров" sheetId="33" r:id="rId5"/>
    <sheet name="VIP_клиенты" sheetId="34" r:id="rId6"/>
    <sheet name="Новые_клиенты" sheetId="35" r:id="rId7"/>
  </sheets>
  <definedNames>
    <definedName name="ExternalData_3" localSheetId="2" hidden="1">Витрина_Данных!$A$1:$O$41</definedName>
    <definedName name="ExternalData_4" localSheetId="5" hidden="1">VIP_клиенты!$A$1:$C$11</definedName>
    <definedName name="ExternalData_4" localSheetId="6" hidden="1">Новые_клиенты!$A$1:$C$10</definedName>
    <definedName name="ExternalData_4" localSheetId="3" hidden="1">Продажи_по_категориям!$A$1:$D$7</definedName>
    <definedName name="ExternalData_4" localSheetId="4" hidden="1">Топ5_товаров!$A$1:$B$6</definedName>
  </definedNames>
  <calcPr calcId="191029"/>
  <pivotCaches>
    <pivotCache cacheId="1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06552-0CDB-4422-B78E-E0F46BE13E96}" keepAlive="1" name="Запрос — customers" description="Соединение с запросом &quot;customers&quot; в книге." type="5" refreshedVersion="0" background="1">
    <dbPr connection="Provider=Microsoft.Mashup.OleDb.1;Data Source=$Workbook$;Location=customers;Extended Properties=&quot;&quot;" command="SELECT * FROM [customers]"/>
  </connection>
  <connection id="2" xr16:uid="{3B028B20-A63E-42E5-8934-3CC7A0B66EDC}" keepAlive="1" name="Запрос — orderitems" description="Соединение с запросом &quot;orderitems&quot; в книге." type="5" refreshedVersion="0" background="1">
    <dbPr connection="Provider=Microsoft.Mashup.OleDb.1;Data Source=$Workbook$;Location=orderitems;Extended Properties=&quot;&quot;" command="SELECT * FROM [orderitems]"/>
  </connection>
  <connection id="3" xr16:uid="{7D46EC28-01B0-4316-9F10-802383916E31}" keepAlive="1" name="Запрос — Orders_Excel" description="Соединение с запросом &quot;Orders_Excel&quot; в книге." type="5" refreshedVersion="0" background="1">
    <dbPr connection="Provider=Microsoft.Mashup.OleDb.1;Data Source=$Workbook$;Location=Orders_Excel;Extended Properties=&quot;&quot;" command="SELECT * FROM [Orders_Excel]"/>
  </connection>
  <connection id="4" xr16:uid="{4CD1ECCF-4B06-4E05-952E-4C6036CADB77}" keepAlive="1" name="Запрос — products" description="Соединение с запросом &quot;products&quot; в книге." type="5" refreshedVersion="0" background="1">
    <dbPr connection="Provider=Microsoft.Mashup.OleDb.1;Data Source=$Workbook$;Location=products;Extended Properties=&quot;&quot;" command="SELECT * FROM [products]"/>
  </connection>
  <connection id="5" xr16:uid="{EA32463E-7D27-492B-A10C-CB4BDFDC138E}" keepAlive="1" name="Запрос — VIP_клиенты" description="Соединение с запросом &quot;VIP_клиенты&quot; в книге." type="5" refreshedVersion="8" background="1" saveData="1">
    <dbPr connection="Provider=Microsoft.Mashup.OleDb.1;Data Source=$Workbook$;Location=VIP_клиенты;Extended Properties=&quot;&quot;" command="SELECT * FROM [VIP_клиенты]"/>
  </connection>
  <connection id="6" xr16:uid="{E80406DA-8EAA-4FBA-B98E-AFF62577E20C}" keepAlive="1" name="Запрос — Витрина_Данных" description="Соединение с запросом &quot;Витрина_Данных&quot; в книге." type="5" refreshedVersion="8" background="1" saveData="1">
    <dbPr connection="Provider=Microsoft.Mashup.OleDb.1;Data Source=$Workbook$;Location=Витрина_Данных;Extended Properties=&quot;&quot;" command="SELECT * FROM [Витрина_Данных]"/>
  </connection>
  <connection id="7" xr16:uid="{E4B338F3-5775-40EA-8F63-0BD4242C5DBC}" keepAlive="1" name="Запрос — Новые_клиенты" description="Соединение с запросом &quot;Новые_клиенты&quot; в книге." type="5" refreshedVersion="8" background="1" saveData="1">
    <dbPr connection="Provider=Microsoft.Mashup.OleDb.1;Data Source=$Workbook$;Location=Новые_клиенты;Extended Properties=&quot;&quot;" command="SELECT * FROM [Новые_клиенты]"/>
  </connection>
  <connection id="8" xr16:uid="{074E8377-84A4-4E10-837B-3A72EBDD953F}" keepAlive="1" name="Запрос — Продажи_по_категориям" description="Соединение с запросом &quot;Продажи_по_категориям&quot; в книге." type="5" refreshedVersion="8" background="1" saveData="1">
    <dbPr connection="Provider=Microsoft.Mashup.OleDb.1;Data Source=$Workbook$;Location=Продажи_по_категориям;Extended Properties=&quot;&quot;" command="SELECT * FROM [Продажи_по_категориям]"/>
  </connection>
  <connection id="9" xr16:uid="{ECBD393F-7AFE-4FE6-94FB-36A33EE51E7A}" keepAlive="1" name="Запрос — Слияние1" description="Соединение с запросом &quot;Слияние1&quot; в книге." type="5" refreshedVersion="0" background="1">
    <dbPr connection="Provider=Microsoft.Mashup.OleDb.1;Data Source=$Workbook$;Location=Слияние1;Extended Properties=&quot;&quot;" command="SELECT * FROM [Слияние1]"/>
  </connection>
  <connection id="10" xr16:uid="{B0D61B09-DB4C-4A29-B7B6-E5928353C3FC}" keepAlive="1" name="Запрос — Слияние2" description="Соединение с запросом &quot;Слияние2&quot; в книге." type="5" refreshedVersion="0" background="1">
    <dbPr connection="Provider=Microsoft.Mashup.OleDb.1;Data Source=$Workbook$;Location=Слияние2;Extended Properties=&quot;&quot;" command="SELECT * FROM [Слияние2]"/>
  </connection>
  <connection id="11" xr16:uid="{EF8FD660-3D47-464B-A48D-8F185C663101}" keepAlive="1" name="Запрос — Топ5_товаров" description="Соединение с запросом &quot;Топ5_товаров&quot; в книге." type="5" refreshedVersion="8" background="1" saveData="1">
    <dbPr connection="Provider=Microsoft.Mashup.OleDb.1;Data Source=$Workbook$;Location=Топ5_товаров;Extended Properties=&quot;&quot;" command="SELECT * FROM [Топ5_товаров]"/>
  </connection>
</connections>
</file>

<file path=xl/sharedStrings.xml><?xml version="1.0" encoding="utf-8"?>
<sst xmlns="http://schemas.openxmlformats.org/spreadsheetml/2006/main" count="377" uniqueCount="126">
  <si>
    <t>OrderID</t>
  </si>
  <si>
    <t>OrderDate</t>
  </si>
  <si>
    <t>Region</t>
  </si>
  <si>
    <t>DeliveryCost</t>
  </si>
  <si>
    <t>Returned</t>
  </si>
  <si>
    <t>Москва</t>
  </si>
  <si>
    <t>Нет</t>
  </si>
  <si>
    <t>Санкт-Петербург</t>
  </si>
  <si>
    <t>Да</t>
  </si>
  <si>
    <t>Казань</t>
  </si>
  <si>
    <t>Екатеринбург</t>
  </si>
  <si>
    <t>Новосибирск</t>
  </si>
  <si>
    <t>Краснодар</t>
  </si>
  <si>
    <t>Владивосток</t>
  </si>
  <si>
    <t>CustomerName</t>
  </si>
  <si>
    <t>Иванов А.</t>
  </si>
  <si>
    <t>Петрова С.</t>
  </si>
  <si>
    <t>Сидоров В.</t>
  </si>
  <si>
    <t>Козлова Е.</t>
  </si>
  <si>
    <t>Морозов Д.</t>
  </si>
  <si>
    <t>Новикова А.</t>
  </si>
  <si>
    <t>Лебедев И.</t>
  </si>
  <si>
    <t>Смирнова О.</t>
  </si>
  <si>
    <t>Васильев П.</t>
  </si>
  <si>
    <t>Иванова Т.</t>
  </si>
  <si>
    <t>Кузнецов М.</t>
  </si>
  <si>
    <t>Попова Л.</t>
  </si>
  <si>
    <t>Соколов Н.</t>
  </si>
  <si>
    <t>Федорова К.</t>
  </si>
  <si>
    <t>Никитин Д.</t>
  </si>
  <si>
    <t>Павлова М.</t>
  </si>
  <si>
    <t>Громов А.</t>
  </si>
  <si>
    <t>Тихонова В.</t>
  </si>
  <si>
    <t>Белов С.</t>
  </si>
  <si>
    <t>Крылова Е.</t>
  </si>
  <si>
    <t>Максимов П.</t>
  </si>
  <si>
    <t>Орлова А.</t>
  </si>
  <si>
    <t>Егоров И.</t>
  </si>
  <si>
    <t>Зайцева О.</t>
  </si>
  <si>
    <t>Воронов Д.</t>
  </si>
  <si>
    <t>Антонова Н.</t>
  </si>
  <si>
    <t>Гусев М.</t>
  </si>
  <si>
    <t>Сорокина Л.</t>
  </si>
  <si>
    <t>Тарасов В.</t>
  </si>
  <si>
    <t>Михайлова Е.</t>
  </si>
  <si>
    <t>ProductID</t>
  </si>
  <si>
    <t>Quantity</t>
  </si>
  <si>
    <t>Discount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</si>
  <si>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</si>
  <si>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</si>
  <si>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</si>
  <si>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</si>
  <si>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</si>
  <si>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</si>
  <si>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</si>
  <si>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</si>
  <si>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</si>
  <si>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</si>
  <si>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</si>
  <si>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</si>
  <si>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</si>
  <si>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</si>
  <si>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</si>
  <si>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</si>
  <si>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</si>
  <si>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</si>
  <si>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</si>
  <si>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</si>
  <si>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</si>
  <si>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</si>
  <si>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</si>
  <si>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</si>
  <si>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</si>
  <si>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Product</t>
  </si>
  <si>
    <t>Category</t>
  </si>
  <si>
    <t>Price</t>
  </si>
  <si>
    <t>Ноутбук</t>
  </si>
  <si>
    <t>Техника</t>
  </si>
  <si>
    <t>Смартфон</t>
  </si>
  <si>
    <t>Книга</t>
  </si>
  <si>
    <t>Книги</t>
  </si>
  <si>
    <t>Наушники</t>
  </si>
  <si>
    <t>Кружка</t>
  </si>
  <si>
    <t>Товары для дома</t>
  </si>
  <si>
    <t>Планшет</t>
  </si>
  <si>
    <t>Футболка</t>
  </si>
  <si>
    <t>Одежда</t>
  </si>
  <si>
    <t>Стул</t>
  </si>
  <si>
    <t>Мебель</t>
  </si>
  <si>
    <t>Монитор</t>
  </si>
  <si>
    <t>Клавиатура</t>
  </si>
  <si>
    <t>Мышь</t>
  </si>
  <si>
    <t>Рюкзак</t>
  </si>
  <si>
    <t>Аксессуары</t>
  </si>
  <si>
    <t>Часы</t>
  </si>
  <si>
    <t>Принтер</t>
  </si>
  <si>
    <t>Кофеварка</t>
  </si>
  <si>
    <t>Блендер</t>
  </si>
  <si>
    <t>Плед</t>
  </si>
  <si>
    <t>Зонт</t>
  </si>
  <si>
    <t>Фен</t>
  </si>
  <si>
    <t>Утюг</t>
  </si>
  <si>
    <t>Пылесос</t>
  </si>
  <si>
    <t>Миксер</t>
  </si>
  <si>
    <t>Тостер</t>
  </si>
  <si>
    <t>Геймпад</t>
  </si>
  <si>
    <t>Колонка</t>
  </si>
  <si>
    <t>Revenue</t>
  </si>
  <si>
    <t>Month</t>
  </si>
  <si>
    <t>Сумма_выручки</t>
  </si>
  <si>
    <t>Средний_чек</t>
  </si>
  <si>
    <t>Количество_клиентов</t>
  </si>
  <si>
    <t>CustomerSegment</t>
  </si>
  <si>
    <t>VIP</t>
  </si>
  <si>
    <t>Стандарт</t>
  </si>
  <si>
    <t>Новый</t>
  </si>
  <si>
    <t>Названия строк</t>
  </si>
  <si>
    <t>Общий итог</t>
  </si>
  <si>
    <t>Сумма по полю Revenue</t>
  </si>
  <si>
    <t>Январь</t>
  </si>
  <si>
    <t>Апрель</t>
  </si>
  <si>
    <t>Февраль</t>
  </si>
  <si>
    <t>Март</t>
  </si>
  <si>
    <t>Май</t>
  </si>
  <si>
    <t>Июнь</t>
  </si>
  <si>
    <t>Июль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</si>
</sst>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effectLst/>
              </a:rPr>
              <a:t>Доля категорий в выручке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Продажи_по_категориям!$B$1</c:f>
              <c:strCache>
                <c:ptCount val="1"/>
                <c:pt idx="0">
                  <c:v>Сумма_выручки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Продажи_по_категориям!$A$2:$A$7</c:f>
              <c:strCache>
                <c:ptCount val="6"/>
                <c:pt idx="0">
                  <c:v>Техника</c:v>
                </c:pt>
                <c:pt idx="1">
                  <c:v>Книги</c:v>
                </c:pt>
                <c:pt idx="2">
                  <c:v>Товары для дома</c:v>
                </c:pt>
                <c:pt idx="3">
                  <c:v>Одежда</c:v>
                </c:pt>
                <c:pt idx="4">
                  <c:v>Мебель</c:v>
                </c:pt>
                <c:pt idx="5">
                  <c:v>Аксессуары</c:v>
                </c:pt>
              </c:strCache>
            </c:strRef>
          </c:cat>
          <c:val>
            <c:numRef>
              <c:f>Продажи_по_категориям!$B$2:$B$7</c:f>
              <c:numCache>
                <c:formatCode>General</c:formatCode>
                <c:ptCount val="6"/>
                <c:pt idx="0">
                  <c:v>475060</c:v>
                </c:pt>
                <c:pt idx="1">
                  <c:v>1830</c:v>
                </c:pt>
                <c:pt idx="2">
                  <c:v>7360</c:v>
                </c:pt>
                <c:pt idx="3">
                  <c:v>2780</c:v>
                </c:pt>
                <c:pt idx="4">
                  <c:v>20430</c:v>
                </c:pt>
                <c:pt idx="5">
                  <c:v>23655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D-4AFE-A721-6713F233D058}"/>
            </c:ext>
          </c:extLst>
        </c:ser>
        <c:ser>
          <c:idx val="1"/>
          <c:order val="1"/>
          <c:tx>
            <c:strRef>
              <c:f>Продажи_по_категориям!$C$1</c:f>
              <c:strCache>
                <c:ptCount val="1"/>
                <c:pt idx="0">
                  <c:v>Средний_чек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Продажи_по_категориям!$A$2:$A$7</c:f>
              <c:strCache>
                <c:ptCount val="6"/>
                <c:pt idx="0">
                  <c:v>Техника</c:v>
                </c:pt>
                <c:pt idx="1">
                  <c:v>Книги</c:v>
                </c:pt>
                <c:pt idx="2">
                  <c:v>Товары для дома</c:v>
                </c:pt>
                <c:pt idx="3">
                  <c:v>Одежда</c:v>
                </c:pt>
                <c:pt idx="4">
                  <c:v>Мебель</c:v>
                </c:pt>
                <c:pt idx="5">
                  <c:v>Аксессуары</c:v>
                </c:pt>
              </c:strCache>
            </c:strRef>
          </c:cat>
          <c:val>
            <c:numRef>
              <c:f>Продажи_по_категориям!$C$2:$C$7</c:f>
              <c:numCache>
                <c:formatCode>General</c:formatCode>
                <c:ptCount val="6"/>
                <c:pt idx="0">
                  <c:v>18271.538461538461</c:v>
                </c:pt>
                <c:pt idx="1">
                  <c:v>915</c:v>
                </c:pt>
                <c:pt idx="2">
                  <c:v>2453.3333333333335</c:v>
                </c:pt>
                <c:pt idx="3">
                  <c:v>1390</c:v>
                </c:pt>
                <c:pt idx="4">
                  <c:v>10215</c:v>
                </c:pt>
                <c:pt idx="5">
                  <c:v>4731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4D-4AFE-A721-6713F233D058}"/>
            </c:ext>
          </c:extLst>
        </c:ser>
        <c:ser>
          <c:idx val="2"/>
          <c:order val="2"/>
          <c:tx>
            <c:strRef>
              <c:f>Продажи_по_категориям!$D$1</c:f>
              <c:strCache>
                <c:ptCount val="1"/>
                <c:pt idx="0">
                  <c:v>Количество_клиентов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Продажи_по_категориям!$A$2:$A$7</c:f>
              <c:strCache>
                <c:ptCount val="6"/>
                <c:pt idx="0">
                  <c:v>Техника</c:v>
                </c:pt>
                <c:pt idx="1">
                  <c:v>Книги</c:v>
                </c:pt>
                <c:pt idx="2">
                  <c:v>Товары для дома</c:v>
                </c:pt>
                <c:pt idx="3">
                  <c:v>Одежда</c:v>
                </c:pt>
                <c:pt idx="4">
                  <c:v>Мебель</c:v>
                </c:pt>
                <c:pt idx="5">
                  <c:v>Аксессуары</c:v>
                </c:pt>
              </c:strCache>
            </c:strRef>
          </c:cat>
          <c:val>
            <c:numRef>
              <c:f>Продажи_по_категориям!$D$2:$D$7</c:f>
              <c:numCache>
                <c:formatCode>General</c:formatCode>
                <c:ptCount val="6"/>
                <c:pt idx="0">
                  <c:v>26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4D-4AFE-A721-6713F233D05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effectLst/>
              </a:rPr>
              <a:t>Топ-5 товаров</a:t>
            </a:r>
          </a:p>
          <a:p>
            <a:pPr>
              <a:defRPr/>
            </a:pPr>
            <a:endParaRPr lang="ru-RU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Топ5_товаров!$B$1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Топ5_товаров!$A$2:$A$6</c:f>
              <c:strCache>
                <c:ptCount val="5"/>
                <c:pt idx="0">
                  <c:v>Смартфон</c:v>
                </c:pt>
                <c:pt idx="1">
                  <c:v>Ноутбук</c:v>
                </c:pt>
                <c:pt idx="2">
                  <c:v>Ноутбук</c:v>
                </c:pt>
                <c:pt idx="3">
                  <c:v>Смартфон</c:v>
                </c:pt>
                <c:pt idx="4">
                  <c:v>Планшет</c:v>
                </c:pt>
              </c:strCache>
            </c:strRef>
          </c:cat>
          <c:val>
            <c:numRef>
              <c:f>Топ5_товаров!$B$2:$B$6</c:f>
              <c:numCache>
                <c:formatCode>General</c:formatCode>
                <c:ptCount val="5"/>
                <c:pt idx="0">
                  <c:v>80700</c:v>
                </c:pt>
                <c:pt idx="1">
                  <c:v>74670</c:v>
                </c:pt>
                <c:pt idx="2">
                  <c:v>70750</c:v>
                </c:pt>
                <c:pt idx="3">
                  <c:v>39400</c:v>
                </c:pt>
                <c:pt idx="4">
                  <c:v>30060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1-4A21-85D1-5003FDE03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99856"/>
        <c:axId val="158500336"/>
      </c:barChart>
      <c:catAx>
        <c:axId val="1584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500336"/>
        <c:crosses val="autoZero"/>
        <c:auto val="1"/>
        <c:lblAlgn val="ctr"/>
        <c:lblOffset val="100"/>
        <c:noMultiLvlLbl val="0"/>
      </c:catAx>
      <c:valAx>
        <c:axId val="1585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9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6</xdr:row>
      <xdr:rowOff>7620</xdr:rowOff>
    </xdr:from>
    <xdr:to>
      <xdr:col>11</xdr:col>
      <xdr:colOff>571500</xdr:colOff>
      <xdr:row>21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FD98B8-CF4A-594F-D656-8381698E4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60960</xdr:rowOff>
    </xdr:from>
    <xdr:to>
      <xdr:col>14</xdr:col>
      <xdr:colOff>236220</xdr:colOff>
      <xdr:row>22</xdr:row>
      <xdr:rowOff>83820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3A656FF-5B5C-4961-0AB1-A47F1D5C9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ma" refreshedDate="46217.912080208334" createdVersion="8" refreshedVersion="8" minRefreshableVersion="3" recordCount="40" xr:uid="{35E19FDD-0F00-44F2-821F-B39F99DC8332}">
  <cacheSource type="worksheet">
    <worksheetSource name="Витрина_Данных"/>
  </cacheSource>
  <cacheFields count="15">
    <cacheField name="OrderID" numFmtId="0">
      <sharedItems containsSemiMixedTypes="0" containsString="0" containsNumber="1" containsInteger="1" minValue="1001" maxValue="1040"/>
    </cacheField>
    <cacheField name="OrderDate" numFmtId="14">
      <sharedItems containsSemiMixedTypes="0" containsNonDate="0" containsDate="1" containsString="0" minDate="2023-01-05T00:00:00" maxDate="2023-07-06T00:00:00"/>
    </cacheField>
    <cacheField name="CustomerName" numFmtId="0">
      <sharedItems containsBlank="1"/>
    </cacheField>
    <cacheField name="Region" numFmtId="0">
      <sharedItems count="7">
        <s v="Москва"/>
        <s v="Краснодар"/>
        <s v="Санкт-Петербург"/>
        <s v="Казань"/>
        <s v="Екатеринбург"/>
        <s v="Новосибирск"/>
        <s v="Владивосток"/>
      </sharedItems>
    </cacheField>
    <cacheField name="CustomerSegment" numFmtId="0">
      <sharedItems containsBlank="1"/>
    </cacheField>
    <cacheField name="Product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2"/>
    </cacheField>
    <cacheField name="Product" numFmtId="0">
      <sharedItems/>
    </cacheField>
    <cacheField name="Category" numFmtId="0">
      <sharedItems/>
    </cacheField>
    <cacheField name="Price" numFmtId="0">
      <sharedItems containsSemiMixedTypes="0" containsString="0" containsNumber="1" containsInteger="1" minValue="350" maxValue="75000"/>
    </cacheField>
    <cacheField name="DeliveryCost" numFmtId="0">
      <sharedItems containsSemiMixedTypes="0" containsString="0" containsNumber="1" containsInteger="1" minValue="150" maxValue="1200"/>
    </cacheField>
    <cacheField name="Returned" numFmtId="0">
      <sharedItems/>
    </cacheField>
    <cacheField name="Revenue" numFmtId="0">
      <sharedItems containsSemiMixedTypes="0" containsString="0" containsNumber="1" containsInteger="1" minValue="530" maxValue="80700"/>
    </cacheField>
    <cacheField name="Month" numFmtId="0">
      <sharedItems count="7">
        <s v="Январь"/>
        <s v="Апрель"/>
        <s v="Февраль"/>
        <s v="Март"/>
        <s v="Май"/>
        <s v="Июнь"/>
        <s v="Июл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3-01-05T00:00:00"/>
    <s v="Иванов А."/>
    <x v="0"/>
    <s v="VIP"/>
    <s v="P001"/>
    <n v="1"/>
    <n v="0.05"/>
    <s v="Ноутбук"/>
    <s v="Техника"/>
    <n v="75000"/>
    <n v="500"/>
    <s v="Нет"/>
    <n v="70750"/>
    <x v="0"/>
  </r>
  <r>
    <n v="1026"/>
    <d v="2023-04-25T00:00:00"/>
    <s v="Антонова Н."/>
    <x v="1"/>
    <s v="Стандарт"/>
    <s v="P001"/>
    <n v="1"/>
    <n v="0"/>
    <s v="Ноутбук"/>
    <s v="Техника"/>
    <n v="75000"/>
    <n v="330"/>
    <s v="Нет"/>
    <n v="74670"/>
    <x v="1"/>
  </r>
  <r>
    <n v="1002"/>
    <d v="2023-01-07T00:00:00"/>
    <s v="Петрова С."/>
    <x v="2"/>
    <s v="Стандарт"/>
    <s v="P002"/>
    <n v="2"/>
    <n v="0.1"/>
    <s v="Смартфон"/>
    <s v="Техника"/>
    <n v="45000"/>
    <n v="300"/>
    <s v="Да"/>
    <n v="80700"/>
    <x v="0"/>
  </r>
  <r>
    <n v="1003"/>
    <d v="2023-01-10T00:00:00"/>
    <s v="Сидоров В."/>
    <x v="3"/>
    <s v="Новый"/>
    <s v="P003"/>
    <n v="3"/>
    <n v="0"/>
    <s v="Книга"/>
    <s v="Книги"/>
    <n v="500"/>
    <n v="200"/>
    <s v="Нет"/>
    <n v="1300"/>
    <x v="0"/>
  </r>
  <r>
    <n v="1004"/>
    <d v="2023-01-12T00:00:00"/>
    <s v="Козлова Е."/>
    <x v="0"/>
    <s v="VIP"/>
    <s v="P004"/>
    <n v="1"/>
    <n v="0.15"/>
    <s v="Наушники"/>
    <s v="Техника"/>
    <n v="8000"/>
    <n v="250"/>
    <s v="Нет"/>
    <n v="6550"/>
    <x v="0"/>
  </r>
  <r>
    <n v="1005"/>
    <d v="2023-01-15T00:00:00"/>
    <s v="Морозов Д."/>
    <x v="4"/>
    <s v="Стандарт"/>
    <s v="P005"/>
    <n v="5"/>
    <n v="0"/>
    <s v="Кружка"/>
    <s v="Товары для дома"/>
    <n v="350"/>
    <n v="150"/>
    <s v="Нет"/>
    <n v="1600"/>
    <x v="0"/>
  </r>
  <r>
    <n v="1006"/>
    <d v="2023-01-20T00:00:00"/>
    <s v="Новикова А."/>
    <x v="4"/>
    <s v="VIP"/>
    <s v="P006"/>
    <n v="1"/>
    <n v="0.05"/>
    <s v="Планшет"/>
    <s v="Техника"/>
    <n v="32000"/>
    <n v="400"/>
    <s v="Да"/>
    <n v="30000"/>
    <x v="0"/>
  </r>
  <r>
    <n v="1007"/>
    <d v="2023-01-25T00:00:00"/>
    <s v="Лебедев И."/>
    <x v="0"/>
    <s v="Новый"/>
    <s v="P007"/>
    <n v="2"/>
    <n v="0.2"/>
    <s v="Футболка"/>
    <s v="Одежда"/>
    <n v="1500"/>
    <n v="200"/>
    <s v="Нет"/>
    <n v="2200"/>
    <x v="0"/>
  </r>
  <r>
    <n v="1008"/>
    <d v="2023-01-30T00:00:00"/>
    <s v="Смирнова О."/>
    <x v="5"/>
    <s v="Стандарт"/>
    <s v="P008"/>
    <n v="1"/>
    <n v="0.1"/>
    <s v="Стул"/>
    <s v="Мебель"/>
    <n v="12000"/>
    <n v="800"/>
    <s v="Нет"/>
    <n v="10000"/>
    <x v="0"/>
  </r>
  <r>
    <n v="1009"/>
    <d v="2023-02-02T00:00:00"/>
    <s v="Васильев П."/>
    <x v="0"/>
    <s v="VIP"/>
    <s v="P009"/>
    <n v="1"/>
    <n v="0"/>
    <s v="Монитор"/>
    <s v="Техника"/>
    <n v="30000"/>
    <n v="600"/>
    <s v="Нет"/>
    <n v="29400"/>
    <x v="2"/>
  </r>
  <r>
    <n v="1010"/>
    <d v="2023-02-05T00:00:00"/>
    <s v="Иванова Т."/>
    <x v="2"/>
    <s v="Стандарт"/>
    <s v="P010"/>
    <n v="1"/>
    <n v="0.05"/>
    <s v="Клавиатура"/>
    <s v="Техника"/>
    <n v="2500"/>
    <n v="150"/>
    <s v="Да"/>
    <n v="2225"/>
    <x v="2"/>
  </r>
  <r>
    <n v="1011"/>
    <d v="2023-02-10T00:00:00"/>
    <s v="Кузнецов М."/>
    <x v="1"/>
    <s v="Новый"/>
    <s v="P011"/>
    <n v="1"/>
    <n v="0"/>
    <s v="Мышь"/>
    <s v="Техника"/>
    <n v="1200"/>
    <n v="350"/>
    <s v="Нет"/>
    <n v="850"/>
    <x v="2"/>
  </r>
  <r>
    <n v="1012"/>
    <d v="2023-02-15T00:00:00"/>
    <s v="Попова Л."/>
    <x v="6"/>
    <s v="Стандарт"/>
    <s v="P012"/>
    <n v="2"/>
    <n v="0.15"/>
    <s v="Рюкзак"/>
    <s v="Аксессуары"/>
    <n v="3500"/>
    <n v="1200"/>
    <s v="Нет"/>
    <n v="4750"/>
    <x v="2"/>
  </r>
  <r>
    <n v="1013"/>
    <d v="2023-02-20T00:00:00"/>
    <s v="Соколов Н."/>
    <x v="0"/>
    <s v="VIP"/>
    <s v="P013"/>
    <n v="1"/>
    <n v="0.1"/>
    <s v="Часы"/>
    <s v="Аксессуары"/>
    <n v="8900"/>
    <n v="180"/>
    <s v="Да"/>
    <n v="7830"/>
    <x v="2"/>
  </r>
  <r>
    <n v="1014"/>
    <d v="2023-02-25T00:00:00"/>
    <s v="Федорова К."/>
    <x v="5"/>
    <s v="Стандарт"/>
    <s v="P014"/>
    <n v="1"/>
    <n v="0"/>
    <s v="Принтер"/>
    <s v="Техника"/>
    <n v="15000"/>
    <n v="700"/>
    <s v="Нет"/>
    <n v="14300"/>
    <x v="2"/>
  </r>
  <r>
    <n v="1015"/>
    <d v="2023-03-01T00:00:00"/>
    <s v="Никитин Д."/>
    <x v="3"/>
    <s v="Новый"/>
    <s v="P015"/>
    <n v="1"/>
    <n v="0.05"/>
    <s v="Кофеварка"/>
    <s v="Техника"/>
    <n v="6700"/>
    <n v="220"/>
    <s v="Нет"/>
    <n v="6145"/>
    <x v="3"/>
  </r>
  <r>
    <n v="1016"/>
    <d v="2023-03-05T00:00:00"/>
    <s v="Павлова М."/>
    <x v="2"/>
    <s v="VIP"/>
    <s v="P016"/>
    <n v="1"/>
    <n v="0"/>
    <s v="Блендер"/>
    <s v="Техника"/>
    <n v="4500"/>
    <n v="320"/>
    <s v="Да"/>
    <n v="4180"/>
    <x v="3"/>
  </r>
  <r>
    <n v="1017"/>
    <d v="2023-03-10T00:00:00"/>
    <s v="Громов А."/>
    <x v="4"/>
    <s v="Стандарт"/>
    <s v="P017"/>
    <n v="3"/>
    <n v="0.2"/>
    <s v="Плед"/>
    <s v="Товары для дома"/>
    <n v="2200"/>
    <n v="280"/>
    <s v="Нет"/>
    <n v="5000"/>
    <x v="3"/>
  </r>
  <r>
    <n v="1018"/>
    <d v="2023-03-15T00:00:00"/>
    <s v="Тихонова В."/>
    <x v="0"/>
    <s v="Новый"/>
    <s v="P018"/>
    <n v="1"/>
    <n v="0"/>
    <s v="Зонт"/>
    <s v="Аксессуары"/>
    <n v="1300"/>
    <n v="550"/>
    <s v="Нет"/>
    <n v="750"/>
    <x v="3"/>
  </r>
  <r>
    <n v="1019"/>
    <d v="2023-03-20T00:00:00"/>
    <s v="Белов С."/>
    <x v="1"/>
    <s v="VIP"/>
    <s v="P019"/>
    <n v="1"/>
    <n v="0.1"/>
    <s v="Фен"/>
    <s v="Техника"/>
    <n v="2800"/>
    <n v="380"/>
    <s v="Нет"/>
    <n v="2140"/>
    <x v="3"/>
  </r>
  <r>
    <n v="1020"/>
    <d v="2023-03-25T00:00:00"/>
    <s v="Крылова Е."/>
    <x v="6"/>
    <s v="Стандарт"/>
    <s v="P020"/>
    <n v="1"/>
    <n v="0.05"/>
    <s v="Утюг"/>
    <s v="Техника"/>
    <n v="3200"/>
    <n v="950"/>
    <s v="Да"/>
    <n v="2090"/>
    <x v="3"/>
  </r>
  <r>
    <n v="1021"/>
    <d v="2023-04-01T00:00:00"/>
    <s v="Максимов П."/>
    <x v="5"/>
    <s v="Новый"/>
    <s v="P021"/>
    <n v="1"/>
    <n v="0"/>
    <s v="Пылесос"/>
    <s v="Техника"/>
    <n v="8900"/>
    <n v="420"/>
    <s v="Нет"/>
    <n v="8480"/>
    <x v="1"/>
  </r>
  <r>
    <n v="1022"/>
    <d v="2023-04-05T00:00:00"/>
    <s v="Орлова А."/>
    <x v="3"/>
    <s v="VIP"/>
    <s v="P022"/>
    <n v="1"/>
    <n v="0.15"/>
    <s v="Миксер"/>
    <s v="Техника"/>
    <n v="3800"/>
    <n v="190"/>
    <s v="Нет"/>
    <n v="3040"/>
    <x v="1"/>
  </r>
  <r>
    <n v="1023"/>
    <d v="2023-04-10T00:00:00"/>
    <s v="Егоров И."/>
    <x v="2"/>
    <s v="Стандарт"/>
    <s v="P023"/>
    <n v="1"/>
    <n v="0"/>
    <s v="Тостер"/>
    <s v="Техника"/>
    <n v="2900"/>
    <n v="310"/>
    <s v="Нет"/>
    <n v="2590"/>
    <x v="1"/>
  </r>
  <r>
    <n v="1024"/>
    <d v="2023-04-15T00:00:00"/>
    <s v="Зайцева О."/>
    <x v="4"/>
    <s v="Новый"/>
    <s v="P024"/>
    <n v="1"/>
    <n v="0.1"/>
    <s v="Геймпад"/>
    <s v="Техника"/>
    <n v="3400"/>
    <n v="260"/>
    <s v="Да"/>
    <n v="2800"/>
    <x v="1"/>
  </r>
  <r>
    <n v="1025"/>
    <d v="2023-04-20T00:00:00"/>
    <s v="Воронов Д."/>
    <x v="0"/>
    <s v="VIP"/>
    <s v="P025"/>
    <n v="1"/>
    <n v="0.05"/>
    <s v="Колонка"/>
    <s v="Техника"/>
    <n v="5600"/>
    <n v="580"/>
    <s v="Нет"/>
    <n v="4740"/>
    <x v="1"/>
  </r>
  <r>
    <n v="1027"/>
    <d v="2023-05-01T00:00:00"/>
    <s v="Гусев М."/>
    <x v="6"/>
    <s v="Новый"/>
    <s v="P002"/>
    <n v="1"/>
    <n v="0.1"/>
    <s v="Смартфон"/>
    <s v="Техника"/>
    <n v="45000"/>
    <n v="1100"/>
    <s v="Нет"/>
    <n v="39400"/>
    <x v="4"/>
  </r>
  <r>
    <n v="1028"/>
    <d v="2023-05-05T00:00:00"/>
    <s v="Сорокина Л."/>
    <x v="5"/>
    <s v="VIP"/>
    <s v="P003"/>
    <n v="2"/>
    <n v="0"/>
    <s v="Книга"/>
    <s v="Книги"/>
    <n v="500"/>
    <n v="470"/>
    <s v="Да"/>
    <n v="530"/>
    <x v="4"/>
  </r>
  <r>
    <n v="1029"/>
    <d v="2023-05-10T00:00:00"/>
    <s v="Тарасов В."/>
    <x v="3"/>
    <s v="Стандарт"/>
    <s v="P004"/>
    <n v="1"/>
    <n v="0.15"/>
    <s v="Наушники"/>
    <s v="Техника"/>
    <n v="8000"/>
    <n v="210"/>
    <s v="Нет"/>
    <n v="6590"/>
    <x v="4"/>
  </r>
  <r>
    <n v="1030"/>
    <d v="2023-05-15T00:00:00"/>
    <s v="Михайлова Е."/>
    <x v="2"/>
    <s v="Новый"/>
    <s v="P005"/>
    <n v="3"/>
    <n v="0"/>
    <s v="Кружка"/>
    <s v="Товары для дома"/>
    <n v="350"/>
    <n v="290"/>
    <s v="Нет"/>
    <n v="760"/>
    <x v="4"/>
  </r>
  <r>
    <n v="1031"/>
    <d v="2023-05-20T00:00:00"/>
    <m/>
    <x v="4"/>
    <m/>
    <s v="P006"/>
    <n v="1"/>
    <n v="0.05"/>
    <s v="Планшет"/>
    <s v="Техника"/>
    <n v="32000"/>
    <n v="340"/>
    <s v="Нет"/>
    <n v="30060"/>
    <x v="4"/>
  </r>
  <r>
    <n v="1032"/>
    <d v="2023-05-25T00:00:00"/>
    <m/>
    <x v="0"/>
    <m/>
    <s v="P007"/>
    <n v="1"/>
    <n v="0.2"/>
    <s v="Футболка"/>
    <s v="Одежда"/>
    <n v="1500"/>
    <n v="620"/>
    <s v="Да"/>
    <n v="580"/>
    <x v="4"/>
  </r>
  <r>
    <n v="1033"/>
    <d v="2023-06-01T00:00:00"/>
    <m/>
    <x v="1"/>
    <m/>
    <s v="P008"/>
    <n v="1"/>
    <n v="0.1"/>
    <s v="Стул"/>
    <s v="Мебель"/>
    <n v="12000"/>
    <n v="370"/>
    <s v="Нет"/>
    <n v="10430"/>
    <x v="5"/>
  </r>
  <r>
    <n v="1034"/>
    <d v="2023-06-05T00:00:00"/>
    <m/>
    <x v="6"/>
    <m/>
    <s v="P009"/>
    <n v="1"/>
    <n v="0"/>
    <s v="Монитор"/>
    <s v="Техника"/>
    <n v="30000"/>
    <n v="1050"/>
    <s v="Нет"/>
    <n v="28950"/>
    <x v="5"/>
  </r>
  <r>
    <n v="1035"/>
    <d v="2023-06-10T00:00:00"/>
    <m/>
    <x v="5"/>
    <m/>
    <s v="P010"/>
    <n v="1"/>
    <n v="0.05"/>
    <s v="Клавиатура"/>
    <s v="Техника"/>
    <n v="2500"/>
    <n v="440"/>
    <s v="Нет"/>
    <n v="1935"/>
    <x v="5"/>
  </r>
  <r>
    <n v="1036"/>
    <d v="2023-06-15T00:00:00"/>
    <m/>
    <x v="3"/>
    <m/>
    <s v="P011"/>
    <n v="2"/>
    <n v="0"/>
    <s v="Мышь"/>
    <s v="Техника"/>
    <n v="1200"/>
    <n v="230"/>
    <s v="Да"/>
    <n v="2170"/>
    <x v="5"/>
  </r>
  <r>
    <n v="1037"/>
    <d v="2023-06-20T00:00:00"/>
    <m/>
    <x v="2"/>
    <m/>
    <s v="P012"/>
    <n v="1"/>
    <n v="0.15"/>
    <s v="Рюкзак"/>
    <s v="Аксессуары"/>
    <n v="3500"/>
    <n v="270"/>
    <s v="Нет"/>
    <n v="2705"/>
    <x v="5"/>
  </r>
  <r>
    <n v="1038"/>
    <d v="2023-06-25T00:00:00"/>
    <m/>
    <x v="4"/>
    <m/>
    <s v="P013"/>
    <n v="1"/>
    <n v="0.1"/>
    <s v="Часы"/>
    <s v="Аксессуары"/>
    <n v="8900"/>
    <n v="390"/>
    <s v="Нет"/>
    <n v="7620"/>
    <x v="5"/>
  </r>
  <r>
    <n v="1039"/>
    <d v="2023-07-01T00:00:00"/>
    <m/>
    <x v="0"/>
    <m/>
    <s v="P014"/>
    <n v="1"/>
    <n v="0"/>
    <s v="Принтер"/>
    <s v="Техника"/>
    <n v="15000"/>
    <n v="650"/>
    <s v="Нет"/>
    <n v="14350"/>
    <x v="6"/>
  </r>
  <r>
    <n v="1040"/>
    <d v="2023-07-05T00:00:00"/>
    <m/>
    <x v="1"/>
    <m/>
    <s v="P015"/>
    <n v="1"/>
    <n v="0.05"/>
    <s v="Кофеварка"/>
    <s v="Техника"/>
    <n v="6700"/>
    <n v="410"/>
    <s v="Да"/>
    <n v="5955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D6E29-5319-424B-9F6F-4E46E88F56CD}" name="Сводная таблица7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0"/>
        <item x="2"/>
        <item x="3"/>
        <item x="1"/>
        <item x="4"/>
        <item x="5"/>
        <item x="6"/>
        <item t="default"/>
      </items>
    </pivotField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по полю 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E6AE0-34F9-406A-BDFC-EF31B6E6B742}" name="Сводная таблица8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numFmtId="14" showAll="0"/>
    <pivotField showAll="0"/>
    <pivotField axis="axisRow" showAll="0">
      <items count="8">
        <item x="6"/>
        <item x="4"/>
        <item x="3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Сумма по полю 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C3795C2F-1A4B-416B-B346-D56FE4CBD65A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OrderDate" tableColumnId="2"/>
      <queryTableField id="3" name="CustomerName" tableColumnId="3"/>
      <queryTableField id="4" name="Region" tableColumnId="4"/>
      <queryTableField id="5" name="CustomerSegment" tableColumnId="5"/>
      <queryTableField id="6" name="ProductID" tableColumnId="6"/>
      <queryTableField id="7" name="Quantity" tableColumnId="7"/>
      <queryTableField id="8" name="Discount" tableColumnId="8"/>
      <queryTableField id="9" name="Product" tableColumnId="9"/>
      <queryTableField id="10" name="Category" tableColumnId="10"/>
      <queryTableField id="11" name="Price" tableColumnId="11"/>
      <queryTableField id="12" name="DeliveryCost" tableColumnId="12"/>
      <queryTableField id="13" name="Returned" tableColumnId="13"/>
      <queryTableField id="14" name="Revenue" tableColumnId="14"/>
      <queryTableField id="15" name="Month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4CEAD8BC-F589-4EE0-9425-7F979DEA947A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Сумма_выручки" tableColumnId="2"/>
      <queryTableField id="3" name="Средний_чек" tableColumnId="3"/>
      <queryTableField id="4" name="Количество_клиентов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3F9A7726-230F-4FD4-B47C-6D6D73B63A49}" autoFormatId="16" applyNumberFormats="0" applyBorderFormats="0" applyFontFormats="0" applyPatternFormats="0" applyAlignmentFormats="0" applyWidthHeightFormats="0">
  <queryTableRefresh nextId="3">
    <queryTableFields count="2">
      <queryTableField id="1" name="Product" tableColumnId="1"/>
      <queryTableField id="2" name="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9EC83A24-985D-4C73-8FAD-6AFAD3F65405}" autoFormatId="16" applyNumberFormats="0" applyBorderFormats="0" applyFontFormats="0" applyPatternFormats="0" applyAlignmentFormats="0" applyWidthHeightFormats="0">
  <queryTableRefresh nextId="5">
    <queryTableFields count="3">
      <queryTableField id="2" name="CustomerName" tableColumnId="2"/>
      <queryTableField id="1" name="OrderID" tableColumnId="1"/>
      <queryTableField id="3" name="Reven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6A627C19-88A8-4C8C-952F-4AC6C92DF072}" autoFormatId="16" applyNumberFormats="0" applyBorderFormats="0" applyFontFormats="0" applyPatternFormats="0" applyAlignmentFormats="0" applyWidthHeightFormats="0">
  <queryTableRefresh nextId="4">
    <queryTableFields count="3">
      <queryTableField id="1" name="CustomerName" tableColumnId="1"/>
      <queryTableField id="2" name="OrderID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3CA61C-8E25-445E-9478-A07810B2B690}" name="Витрина_Данных" displayName="Витрина_Данных" ref="A1:O41" tableType="queryTable" totalsRowShown="0">
  <autoFilter ref="A1:O41" xr:uid="{433CA61C-8E25-445E-9478-A07810B2B690}"/>
  <tableColumns count="15">
    <tableColumn id="1" xr3:uid="{5DD7B8B9-DD9C-417A-9AE4-D74C55C5D9B6}" uniqueName="1" name="OrderID" queryTableFieldId="1"/>
    <tableColumn id="2" xr3:uid="{18B0AE37-0F63-45D2-A614-00F5516D54D1}" uniqueName="2" name="OrderDate" queryTableFieldId="2" dataDxfId="12"/>
    <tableColumn id="3" xr3:uid="{7FEC5F8E-A2A0-4033-B512-9DF6CB9A3104}" uniqueName="3" name="CustomerName" queryTableFieldId="3" dataDxfId="11"/>
    <tableColumn id="4" xr3:uid="{5B6AB19F-47BB-46A9-93E0-191DD1854319}" uniqueName="4" name="Region" queryTableFieldId="4" dataDxfId="10"/>
    <tableColumn id="5" xr3:uid="{1B6CBDBF-01B7-4536-9474-974AAC0BE009}" uniqueName="5" name="CustomerSegment" queryTableFieldId="5" dataDxfId="9"/>
    <tableColumn id="6" xr3:uid="{CFF542DB-E92D-487C-8561-D6160BACED9A}" uniqueName="6" name="ProductID" queryTableFieldId="6" dataDxfId="8"/>
    <tableColumn id="7" xr3:uid="{C1AE5FA8-0EB0-4948-BF83-A0A7F6773FDE}" uniqueName="7" name="Quantity" queryTableFieldId="7"/>
    <tableColumn id="8" xr3:uid="{393EB419-61C9-41EE-BC85-CC0302293439}" uniqueName="8" name="Discount" queryTableFieldId="8"/>
    <tableColumn id="9" xr3:uid="{A7A33690-1E0B-40A2-8FF1-4843BBDCF3DA}" uniqueName="9" name="Product" queryTableFieldId="9" dataDxfId="7"/>
    <tableColumn id="10" xr3:uid="{13667A73-BBCC-41FF-B72E-69C6E950A031}" uniqueName="10" name="Category" queryTableFieldId="10" dataDxfId="6"/>
    <tableColumn id="11" xr3:uid="{BA278A92-BF78-431B-9B7E-8FA09B614000}" uniqueName="11" name="Price" queryTableFieldId="11"/>
    <tableColumn id="12" xr3:uid="{95E2B1BC-701F-4D35-BBDB-1D3BB51A8F92}" uniqueName="12" name="DeliveryCost" queryTableFieldId="12"/>
    <tableColumn id="13" xr3:uid="{BD56E243-A376-468A-9CF3-5A723CC05BAC}" uniqueName="13" name="Returned" queryTableFieldId="13" dataDxfId="5"/>
    <tableColumn id="14" xr3:uid="{F2B8D82B-F456-46BB-9415-D9F98E8B98BD}" uniqueName="14" name="Revenue" queryTableFieldId="14"/>
    <tableColumn id="15" xr3:uid="{AD91F9CA-4B78-4DE5-946B-A1971F76B3FD}" uniqueName="15" name="Month" queryTableFieldId="15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7274FC-AA6A-4349-BEC8-1072E46D6E60}" name="Продажи_по_категориям" displayName="Продажи_по_категориям" ref="A1:D7" tableType="queryTable" totalsRowShown="0">
  <autoFilter ref="A1:D7" xr:uid="{447274FC-AA6A-4349-BEC8-1072E46D6E60}"/>
  <tableColumns count="4">
    <tableColumn id="1" xr3:uid="{B0351FB5-CB98-4C0D-A309-FD64F855E6C4}" uniqueName="1" name="Category" queryTableFieldId="1" dataDxfId="3"/>
    <tableColumn id="2" xr3:uid="{890F6958-DF99-4AE2-ABBB-B183E6F54A8D}" uniqueName="2" name="Сумма_выручки" queryTableFieldId="2"/>
    <tableColumn id="3" xr3:uid="{CCDDC886-D780-4E73-9CF7-0DBA921AE7C7}" uniqueName="3" name="Средний_чек" queryTableFieldId="3"/>
    <tableColumn id="4" xr3:uid="{D77994BE-087C-4945-8957-D5B2A4B24150}" uniqueName="4" name="Количество_клиентов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C5A6914-C784-499A-975C-BE596C0FDDEF}" name="Топ5_товаров" displayName="Топ5_товаров" ref="A1:B6" tableType="queryTable" totalsRowShown="0">
  <autoFilter ref="A1:B6" xr:uid="{AC5A6914-C784-499A-975C-BE596C0FDDEF}"/>
  <tableColumns count="2">
    <tableColumn id="1" xr3:uid="{148C6ECE-34BD-4C44-87B7-FCA85B29F9D0}" uniqueName="1" name="Product" queryTableFieldId="1" dataDxfId="2"/>
    <tableColumn id="2" xr3:uid="{C797EE1E-89A8-4172-BDFF-2D2512C5441F}" uniqueName="2" name="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ECA714-D34B-4894-A88A-7ED8907F2B26}" name="VIP_клиенты" displayName="VIP_клиенты" ref="A1:C11" tableType="queryTable" totalsRowShown="0">
  <autoFilter ref="A1:C11" xr:uid="{49ECA714-D34B-4894-A88A-7ED8907F2B26}"/>
  <tableColumns count="3">
    <tableColumn id="2" xr3:uid="{E06D34E1-1E43-4F4E-9539-5CCABDE2F8D1}" uniqueName="2" name="CustomerName" queryTableFieldId="2" dataDxfId="0"/>
    <tableColumn id="1" xr3:uid="{B370B1B9-C8A5-4CBE-BA4C-35BCEB39848D}" uniqueName="1" name="OrderID" queryTableFieldId="1"/>
    <tableColumn id="3" xr3:uid="{B109FCD8-FB2F-4593-AE5B-8FC649C8C69D}" uniqueName="3" name="Reven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29DDC19-D432-4173-92D7-166FA464F4C1}" name="Новые_клиенты" displayName="Новые_клиенты" ref="A1:C10" tableType="queryTable" totalsRowShown="0">
  <autoFilter ref="A1:C10" xr:uid="{429DDC19-D432-4173-92D7-166FA464F4C1}"/>
  <tableColumns count="3">
    <tableColumn id="1" xr3:uid="{CBFF379B-5248-4EDB-A324-17FD030852AA}" uniqueName="1" name="CustomerName" queryTableFieldId="1" dataDxfId="1"/>
    <tableColumn id="2" xr3:uid="{1875802A-26E3-4EB4-AC96-3A744EA6AE42}" uniqueName="2" name="OrderID" queryTableFieldId="2"/>
    <tableColumn id="3" xr3:uid="{091D4042-F817-4C5F-95A0-0713FA2C170F}" uniqueName="3" name="Reven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3E3A-3902-4BD9-B7D1-762381ED099A}">
  <dimension ref="A3:B11"/>
  <sheetViews>
    <sheetView workbookViewId="0">
      <selection activeCell="A3" sqref="A3"/>
    </sheetView>
  </sheetViews>
  <sheetFormatPr defaultRowHeight="14.4" x14ac:dyDescent="0.3"/>
  <cols>
    <col min="1" max="1" width="17" bestFit="1" customWidth="1"/>
    <col min="2" max="2" width="21.77734375" bestFit="1" customWidth="1"/>
  </cols>
  <sheetData>
    <row r="3" spans="1:2" x14ac:dyDescent="0.3">
      <c r="A3" s="3" t="s">
        <v>116</v>
      </c>
      <c r="B3" t="s">
        <v>118</v>
      </c>
    </row>
    <row r="4" spans="1:2" x14ac:dyDescent="0.3">
      <c r="A4" s="4" t="s">
        <v>119</v>
      </c>
      <c r="B4" s="2">
        <v>203100</v>
      </c>
    </row>
    <row r="5" spans="1:2" x14ac:dyDescent="0.3">
      <c r="A5" s="4" t="s">
        <v>121</v>
      </c>
      <c r="B5" s="2">
        <v>59355</v>
      </c>
    </row>
    <row r="6" spans="1:2" x14ac:dyDescent="0.3">
      <c r="A6" s="4" t="s">
        <v>122</v>
      </c>
      <c r="B6" s="2">
        <v>20305</v>
      </c>
    </row>
    <row r="7" spans="1:2" x14ac:dyDescent="0.3">
      <c r="A7" s="4" t="s">
        <v>120</v>
      </c>
      <c r="B7" s="2">
        <v>96320</v>
      </c>
    </row>
    <row r="8" spans="1:2" x14ac:dyDescent="0.3">
      <c r="A8" s="4" t="s">
        <v>123</v>
      </c>
      <c r="B8" s="2">
        <v>77920</v>
      </c>
    </row>
    <row r="9" spans="1:2" x14ac:dyDescent="0.3">
      <c r="A9" s="4" t="s">
        <v>124</v>
      </c>
      <c r="B9" s="2">
        <v>53810</v>
      </c>
    </row>
    <row r="10" spans="1:2" x14ac:dyDescent="0.3">
      <c r="A10" s="4" t="s">
        <v>125</v>
      </c>
      <c r="B10" s="2">
        <v>20305</v>
      </c>
    </row>
    <row r="11" spans="1:2" x14ac:dyDescent="0.3">
      <c r="A11" s="4" t="s">
        <v>117</v>
      </c>
      <c r="B11" s="2">
        <v>531115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6962-0BCB-452A-873D-1D76C8EDF57D}">
  <dimension ref="A3:B11"/>
  <sheetViews>
    <sheetView workbookViewId="0">
      <selection activeCell="A3" sqref="A3"/>
    </sheetView>
  </sheetViews>
  <sheetFormatPr defaultRowHeight="14.4" x14ac:dyDescent="0.3"/>
  <cols>
    <col min="1" max="1" width="17" bestFit="1" customWidth="1"/>
    <col min="2" max="2" width="21.77734375" bestFit="1" customWidth="1"/>
  </cols>
  <sheetData>
    <row r="3" spans="1:2" x14ac:dyDescent="0.3">
      <c r="A3" s="3" t="s">
        <v>116</v>
      </c>
      <c r="B3" t="s">
        <v>118</v>
      </c>
    </row>
    <row r="4" spans="1:2" x14ac:dyDescent="0.3">
      <c r="A4" s="4" t="s">
        <v>13</v>
      </c>
      <c r="B4" s="2">
        <v>75190</v>
      </c>
    </row>
    <row r="5" spans="1:2" x14ac:dyDescent="0.3">
      <c r="A5" s="4" t="s">
        <v>10</v>
      </c>
      <c r="B5" s="2">
        <v>77080</v>
      </c>
    </row>
    <row r="6" spans="1:2" x14ac:dyDescent="0.3">
      <c r="A6" s="4" t="s">
        <v>9</v>
      </c>
      <c r="B6" s="2">
        <v>19245</v>
      </c>
    </row>
    <row r="7" spans="1:2" x14ac:dyDescent="0.3">
      <c r="A7" s="4" t="s">
        <v>12</v>
      </c>
      <c r="B7" s="2">
        <v>94045</v>
      </c>
    </row>
    <row r="8" spans="1:2" x14ac:dyDescent="0.3">
      <c r="A8" s="4" t="s">
        <v>5</v>
      </c>
      <c r="B8" s="2">
        <v>137150</v>
      </c>
    </row>
    <row r="9" spans="1:2" x14ac:dyDescent="0.3">
      <c r="A9" s="4" t="s">
        <v>11</v>
      </c>
      <c r="B9" s="2">
        <v>35245</v>
      </c>
    </row>
    <row r="10" spans="1:2" x14ac:dyDescent="0.3">
      <c r="A10" s="4" t="s">
        <v>7</v>
      </c>
      <c r="B10" s="2">
        <v>93160</v>
      </c>
    </row>
    <row r="11" spans="1:2" x14ac:dyDescent="0.3">
      <c r="A11" s="4" t="s">
        <v>117</v>
      </c>
      <c r="B11" s="2">
        <v>531115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F967-AB19-4B15-A695-74DD6F2162C3}">
  <dimension ref="A1:O41"/>
  <sheetViews>
    <sheetView tabSelected="1" topLeftCell="A2" workbookViewId="0">
      <selection sqref="A1:O41"/>
    </sheetView>
  </sheetViews>
  <sheetFormatPr defaultRowHeight="14.4" x14ac:dyDescent="0.3"/>
  <cols>
    <col min="1" max="1" width="9.77734375" bestFit="1" customWidth="1"/>
    <col min="2" max="2" width="11.88671875" bestFit="1" customWidth="1"/>
    <col min="3" max="3" width="16.44140625" bestFit="1" customWidth="1"/>
    <col min="4" max="4" width="15.109375" bestFit="1" customWidth="1"/>
    <col min="5" max="5" width="18.77734375" bestFit="1" customWidth="1"/>
    <col min="6" max="6" width="11.5546875" bestFit="1" customWidth="1"/>
    <col min="7" max="7" width="10.33203125" bestFit="1" customWidth="1"/>
    <col min="8" max="9" width="10.5546875" bestFit="1" customWidth="1"/>
    <col min="10" max="10" width="14.88671875" bestFit="1" customWidth="1"/>
    <col min="11" max="11" width="7.5546875" bestFit="1" customWidth="1"/>
    <col min="12" max="12" width="13.77734375" bestFit="1" customWidth="1"/>
    <col min="13" max="13" width="10.77734375" bestFit="1" customWidth="1"/>
    <col min="14" max="14" width="10.21875" bestFit="1" customWidth="1"/>
    <col min="15" max="15" width="8.33203125" bestFit="1" customWidth="1"/>
  </cols>
  <sheetData>
    <row r="1" spans="1:15" x14ac:dyDescent="0.3">
      <c r="A1" t="s">
        <v>0</v>
      </c>
      <c r="B1" t="s">
        <v>1</v>
      </c>
      <c r="C1" t="s">
        <v>14</v>
      </c>
      <c r="D1" t="s">
        <v>2</v>
      </c>
      <c r="E1" t="s">
        <v>112</v>
      </c>
      <c r="F1" t="s">
        <v>45</v>
      </c>
      <c r="G1" t="s">
        <v>46</v>
      </c>
      <c r="H1" t="s">
        <v>47</v>
      </c>
      <c r="I1" t="s">
        <v>73</v>
      </c>
      <c r="J1" t="s">
        <v>74</v>
      </c>
      <c r="K1" t="s">
        <v>75</v>
      </c>
      <c r="L1" t="s">
        <v>3</v>
      </c>
      <c r="M1" t="s">
        <v>4</v>
      </c>
      <c r="N1" t="s">
        <v>107</v>
      </c>
      <c r="O1" t="s">
        <v>108</v>
      </c>
    </row>
    <row r="2" spans="1:15" x14ac:dyDescent="0.3">
      <c r="A2">
        <v>1001</v>
      </c>
      <c r="B2" s="1">
        <v>44931</v>
      </c>
      <c r="C2" s="2" t="s">
        <v>15</v>
      </c>
      <c r="D2" s="2" t="s">
        <v>5</v>
      </c>
      <c r="E2" s="2" t="s">
        <v>113</v>
      </c>
      <c r="F2" s="2" t="s">
        <v>48</v>
      </c>
      <c r="G2">
        <v>1</v>
      </c>
      <c r="H2">
        <v>0.05</v>
      </c>
      <c r="I2" s="2" t="s">
        <v>76</v>
      </c>
      <c r="J2" s="2" t="s">
        <v>77</v>
      </c>
      <c r="K2">
        <v>75000</v>
      </c>
      <c r="L2">
        <v>500</v>
      </c>
      <c r="M2" s="2" t="s">
        <v>6</v>
      </c>
      <c r="N2">
        <v>70750</v>
      </c>
      <c r="O2" s="2" t="s">
        <v>119</v>
      </c>
    </row>
    <row r="3" spans="1:15" x14ac:dyDescent="0.3">
      <c r="A3">
        <v>1026</v>
      </c>
      <c r="B3" s="1">
        <v>45041</v>
      </c>
      <c r="C3" s="2" t="s">
        <v>40</v>
      </c>
      <c r="D3" s="2" t="s">
        <v>12</v>
      </c>
      <c r="E3" s="2" t="s">
        <v>114</v>
      </c>
      <c r="F3" s="2" t="s">
        <v>48</v>
      </c>
      <c r="G3">
        <v>1</v>
      </c>
      <c r="H3">
        <v>0</v>
      </c>
      <c r="I3" s="2" t="s">
        <v>76</v>
      </c>
      <c r="J3" s="2" t="s">
        <v>77</v>
      </c>
      <c r="K3">
        <v>75000</v>
      </c>
      <c r="L3">
        <v>330</v>
      </c>
      <c r="M3" s="2" t="s">
        <v>6</v>
      </c>
      <c r="N3">
        <v>74670</v>
      </c>
      <c r="O3" s="2" t="s">
        <v>120</v>
      </c>
    </row>
    <row r="4" spans="1:15" x14ac:dyDescent="0.3">
      <c r="A4">
        <v>1002</v>
      </c>
      <c r="B4" s="1">
        <v>44933</v>
      </c>
      <c r="C4" s="2" t="s">
        <v>16</v>
      </c>
      <c r="D4" s="2" t="s">
        <v>7</v>
      </c>
      <c r="E4" s="2" t="s">
        <v>114</v>
      </c>
      <c r="F4" s="2" t="s">
        <v>49</v>
      </c>
      <c r="G4">
        <v>2</v>
      </c>
      <c r="H4">
        <v>0.1</v>
      </c>
      <c r="I4" s="2" t="s">
        <v>78</v>
      </c>
      <c r="J4" s="2" t="s">
        <v>77</v>
      </c>
      <c r="K4">
        <v>45000</v>
      </c>
      <c r="L4">
        <v>300</v>
      </c>
      <c r="M4" s="2" t="s">
        <v>8</v>
      </c>
      <c r="N4">
        <v>80700</v>
      </c>
      <c r="O4" s="2" t="s">
        <v>119</v>
      </c>
    </row>
    <row r="5" spans="1:15" x14ac:dyDescent="0.3">
      <c r="A5">
        <v>1003</v>
      </c>
      <c r="B5" s="1">
        <v>44936</v>
      </c>
      <c r="C5" s="2" t="s">
        <v>17</v>
      </c>
      <c r="D5" s="2" t="s">
        <v>9</v>
      </c>
      <c r="E5" s="2" t="s">
        <v>115</v>
      </c>
      <c r="F5" s="2" t="s">
        <v>50</v>
      </c>
      <c r="G5">
        <v>3</v>
      </c>
      <c r="H5">
        <v>0</v>
      </c>
      <c r="I5" s="2" t="s">
        <v>79</v>
      </c>
      <c r="J5" s="2" t="s">
        <v>80</v>
      </c>
      <c r="K5">
        <v>500</v>
      </c>
      <c r="L5">
        <v>200</v>
      </c>
      <c r="M5" s="2" t="s">
        <v>6</v>
      </c>
      <c r="N5">
        <v>1300</v>
      </c>
      <c r="O5" s="2" t="s">
        <v>119</v>
      </c>
    </row>
    <row r="6" spans="1:15" x14ac:dyDescent="0.3">
      <c r="A6">
        <v>1004</v>
      </c>
      <c r="B6" s="1">
        <v>44938</v>
      </c>
      <c r="C6" s="2" t="s">
        <v>18</v>
      </c>
      <c r="D6" s="2" t="s">
        <v>5</v>
      </c>
      <c r="E6" s="2" t="s">
        <v>113</v>
      </c>
      <c r="F6" s="2" t="s">
        <v>51</v>
      </c>
      <c r="G6">
        <v>1</v>
      </c>
      <c r="H6">
        <v>0.15</v>
      </c>
      <c r="I6" s="2" t="s">
        <v>81</v>
      </c>
      <c r="J6" s="2" t="s">
        <v>77</v>
      </c>
      <c r="K6">
        <v>8000</v>
      </c>
      <c r="L6">
        <v>250</v>
      </c>
      <c r="M6" s="2" t="s">
        <v>6</v>
      </c>
      <c r="N6">
        <v>6550</v>
      </c>
      <c r="O6" s="2" t="s">
        <v>119</v>
      </c>
    </row>
    <row r="7" spans="1:15" x14ac:dyDescent="0.3">
      <c r="A7">
        <v>1005</v>
      </c>
      <c r="B7" s="1">
        <v>44941</v>
      </c>
      <c r="C7" s="2" t="s">
        <v>19</v>
      </c>
      <c r="D7" s="2" t="s">
        <v>10</v>
      </c>
      <c r="E7" s="2" t="s">
        <v>114</v>
      </c>
      <c r="F7" s="2" t="s">
        <v>52</v>
      </c>
      <c r="G7">
        <v>5</v>
      </c>
      <c r="H7">
        <v>0</v>
      </c>
      <c r="I7" s="2" t="s">
        <v>82</v>
      </c>
      <c r="J7" s="2" t="s">
        <v>83</v>
      </c>
      <c r="K7">
        <v>350</v>
      </c>
      <c r="L7">
        <v>150</v>
      </c>
      <c r="M7" s="2" t="s">
        <v>6</v>
      </c>
      <c r="N7">
        <v>1600</v>
      </c>
      <c r="O7" s="2" t="s">
        <v>119</v>
      </c>
    </row>
    <row r="8" spans="1:15" x14ac:dyDescent="0.3">
      <c r="A8">
        <v>1006</v>
      </c>
      <c r="B8" s="1">
        <v>44946</v>
      </c>
      <c r="C8" s="2" t="s">
        <v>20</v>
      </c>
      <c r="D8" s="2" t="s">
        <v>10</v>
      </c>
      <c r="E8" s="2" t="s">
        <v>113</v>
      </c>
      <c r="F8" s="2" t="s">
        <v>53</v>
      </c>
      <c r="G8">
        <v>1</v>
      </c>
      <c r="H8">
        <v>0.05</v>
      </c>
      <c r="I8" s="2" t="s">
        <v>84</v>
      </c>
      <c r="J8" s="2" t="s">
        <v>77</v>
      </c>
      <c r="K8">
        <v>32000</v>
      </c>
      <c r="L8">
        <v>400</v>
      </c>
      <c r="M8" s="2" t="s">
        <v>8</v>
      </c>
      <c r="N8">
        <v>30000</v>
      </c>
      <c r="O8" s="2" t="s">
        <v>119</v>
      </c>
    </row>
    <row r="9" spans="1:15" x14ac:dyDescent="0.3">
      <c r="A9">
        <v>1007</v>
      </c>
      <c r="B9" s="1">
        <v>44951</v>
      </c>
      <c r="C9" s="2" t="s">
        <v>21</v>
      </c>
      <c r="D9" s="2" t="s">
        <v>5</v>
      </c>
      <c r="E9" s="2" t="s">
        <v>115</v>
      </c>
      <c r="F9" s="2" t="s">
        <v>54</v>
      </c>
      <c r="G9">
        <v>2</v>
      </c>
      <c r="H9">
        <v>0.2</v>
      </c>
      <c r="I9" s="2" t="s">
        <v>85</v>
      </c>
      <c r="J9" s="2" t="s">
        <v>86</v>
      </c>
      <c r="K9">
        <v>1500</v>
      </c>
      <c r="L9">
        <v>200</v>
      </c>
      <c r="M9" s="2" t="s">
        <v>6</v>
      </c>
      <c r="N9">
        <v>2200</v>
      </c>
      <c r="O9" s="2" t="s">
        <v>119</v>
      </c>
    </row>
    <row r="10" spans="1:15" x14ac:dyDescent="0.3">
      <c r="A10">
        <v>1008</v>
      </c>
      <c r="B10" s="1">
        <v>44956</v>
      </c>
      <c r="C10" s="2" t="s">
        <v>22</v>
      </c>
      <c r="D10" s="2" t="s">
        <v>11</v>
      </c>
      <c r="E10" s="2" t="s">
        <v>114</v>
      </c>
      <c r="F10" s="2" t="s">
        <v>55</v>
      </c>
      <c r="G10">
        <v>1</v>
      </c>
      <c r="H10">
        <v>0.1</v>
      </c>
      <c r="I10" s="2" t="s">
        <v>87</v>
      </c>
      <c r="J10" s="2" t="s">
        <v>88</v>
      </c>
      <c r="K10">
        <v>12000</v>
      </c>
      <c r="L10">
        <v>800</v>
      </c>
      <c r="M10" s="2" t="s">
        <v>6</v>
      </c>
      <c r="N10">
        <v>10000</v>
      </c>
      <c r="O10" s="2" t="s">
        <v>119</v>
      </c>
    </row>
    <row r="11" spans="1:15" x14ac:dyDescent="0.3">
      <c r="A11">
        <v>1009</v>
      </c>
      <c r="B11" s="1">
        <v>44959</v>
      </c>
      <c r="C11" s="2" t="s">
        <v>23</v>
      </c>
      <c r="D11" s="2" t="s">
        <v>5</v>
      </c>
      <c r="E11" s="2" t="s">
        <v>113</v>
      </c>
      <c r="F11" s="2" t="s">
        <v>56</v>
      </c>
      <c r="G11">
        <v>1</v>
      </c>
      <c r="H11">
        <v>0</v>
      </c>
      <c r="I11" s="2" t="s">
        <v>89</v>
      </c>
      <c r="J11" s="2" t="s">
        <v>77</v>
      </c>
      <c r="K11">
        <v>30000</v>
      </c>
      <c r="L11">
        <v>600</v>
      </c>
      <c r="M11" s="2" t="s">
        <v>6</v>
      </c>
      <c r="N11">
        <v>29400</v>
      </c>
      <c r="O11" s="2" t="s">
        <v>121</v>
      </c>
    </row>
    <row r="12" spans="1:15" x14ac:dyDescent="0.3">
      <c r="A12">
        <v>1010</v>
      </c>
      <c r="B12" s="1">
        <v>44962</v>
      </c>
      <c r="C12" s="2" t="s">
        <v>24</v>
      </c>
      <c r="D12" s="2" t="s">
        <v>7</v>
      </c>
      <c r="E12" s="2" t="s">
        <v>114</v>
      </c>
      <c r="F12" s="2" t="s">
        <v>57</v>
      </c>
      <c r="G12">
        <v>1</v>
      </c>
      <c r="H12">
        <v>0.05</v>
      </c>
      <c r="I12" s="2" t="s">
        <v>90</v>
      </c>
      <c r="J12" s="2" t="s">
        <v>77</v>
      </c>
      <c r="K12">
        <v>2500</v>
      </c>
      <c r="L12">
        <v>150</v>
      </c>
      <c r="M12" s="2" t="s">
        <v>8</v>
      </c>
      <c r="N12">
        <v>2225</v>
      </c>
      <c r="O12" s="2" t="s">
        <v>121</v>
      </c>
    </row>
    <row r="13" spans="1:15" x14ac:dyDescent="0.3">
      <c r="A13">
        <v>1011</v>
      </c>
      <c r="B13" s="1">
        <v>44967</v>
      </c>
      <c r="C13" s="2" t="s">
        <v>25</v>
      </c>
      <c r="D13" s="2" t="s">
        <v>12</v>
      </c>
      <c r="E13" s="2" t="s">
        <v>115</v>
      </c>
      <c r="F13" s="2" t="s">
        <v>58</v>
      </c>
      <c r="G13">
        <v>1</v>
      </c>
      <c r="H13">
        <v>0</v>
      </c>
      <c r="I13" s="2" t="s">
        <v>91</v>
      </c>
      <c r="J13" s="2" t="s">
        <v>77</v>
      </c>
      <c r="K13">
        <v>1200</v>
      </c>
      <c r="L13">
        <v>350</v>
      </c>
      <c r="M13" s="2" t="s">
        <v>6</v>
      </c>
      <c r="N13">
        <v>850</v>
      </c>
      <c r="O13" s="2" t="s">
        <v>121</v>
      </c>
    </row>
    <row r="14" spans="1:15" x14ac:dyDescent="0.3">
      <c r="A14">
        <v>1012</v>
      </c>
      <c r="B14" s="1">
        <v>44972</v>
      </c>
      <c r="C14" s="2" t="s">
        <v>26</v>
      </c>
      <c r="D14" s="2" t="s">
        <v>13</v>
      </c>
      <c r="E14" s="2" t="s">
        <v>114</v>
      </c>
      <c r="F14" s="2" t="s">
        <v>59</v>
      </c>
      <c r="G14">
        <v>2</v>
      </c>
      <c r="H14">
        <v>0.15</v>
      </c>
      <c r="I14" s="2" t="s">
        <v>92</v>
      </c>
      <c r="J14" s="2" t="s">
        <v>93</v>
      </c>
      <c r="K14">
        <v>3500</v>
      </c>
      <c r="L14">
        <v>1200</v>
      </c>
      <c r="M14" s="2" t="s">
        <v>6</v>
      </c>
      <c r="N14">
        <v>4750</v>
      </c>
      <c r="O14" s="2" t="s">
        <v>121</v>
      </c>
    </row>
    <row r="15" spans="1:15" x14ac:dyDescent="0.3">
      <c r="A15">
        <v>1013</v>
      </c>
      <c r="B15" s="1">
        <v>44977</v>
      </c>
      <c r="C15" s="2" t="s">
        <v>27</v>
      </c>
      <c r="D15" s="2" t="s">
        <v>5</v>
      </c>
      <c r="E15" s="2" t="s">
        <v>113</v>
      </c>
      <c r="F15" s="2" t="s">
        <v>60</v>
      </c>
      <c r="G15">
        <v>1</v>
      </c>
      <c r="H15">
        <v>0.1</v>
      </c>
      <c r="I15" s="2" t="s">
        <v>94</v>
      </c>
      <c r="J15" s="2" t="s">
        <v>93</v>
      </c>
      <c r="K15">
        <v>8900</v>
      </c>
      <c r="L15">
        <v>180</v>
      </c>
      <c r="M15" s="2" t="s">
        <v>8</v>
      </c>
      <c r="N15">
        <v>7830</v>
      </c>
      <c r="O15" s="2" t="s">
        <v>121</v>
      </c>
    </row>
    <row r="16" spans="1:15" x14ac:dyDescent="0.3">
      <c r="A16">
        <v>1014</v>
      </c>
      <c r="B16" s="1">
        <v>44982</v>
      </c>
      <c r="C16" s="2" t="s">
        <v>28</v>
      </c>
      <c r="D16" s="2" t="s">
        <v>11</v>
      </c>
      <c r="E16" s="2" t="s">
        <v>114</v>
      </c>
      <c r="F16" s="2" t="s">
        <v>61</v>
      </c>
      <c r="G16">
        <v>1</v>
      </c>
      <c r="H16">
        <v>0</v>
      </c>
      <c r="I16" s="2" t="s">
        <v>95</v>
      </c>
      <c r="J16" s="2" t="s">
        <v>77</v>
      </c>
      <c r="K16">
        <v>15000</v>
      </c>
      <c r="L16">
        <v>700</v>
      </c>
      <c r="M16" s="2" t="s">
        <v>6</v>
      </c>
      <c r="N16">
        <v>14300</v>
      </c>
      <c r="O16" s="2" t="s">
        <v>121</v>
      </c>
    </row>
    <row r="17" spans="1:15" x14ac:dyDescent="0.3">
      <c r="A17">
        <v>1015</v>
      </c>
      <c r="B17" s="1">
        <v>44986</v>
      </c>
      <c r="C17" s="2" t="s">
        <v>29</v>
      </c>
      <c r="D17" s="2" t="s">
        <v>9</v>
      </c>
      <c r="E17" s="2" t="s">
        <v>115</v>
      </c>
      <c r="F17" s="2" t="s">
        <v>62</v>
      </c>
      <c r="G17">
        <v>1</v>
      </c>
      <c r="H17">
        <v>0.05</v>
      </c>
      <c r="I17" s="2" t="s">
        <v>96</v>
      </c>
      <c r="J17" s="2" t="s">
        <v>77</v>
      </c>
      <c r="K17">
        <v>6700</v>
      </c>
      <c r="L17">
        <v>220</v>
      </c>
      <c r="M17" s="2" t="s">
        <v>6</v>
      </c>
      <c r="N17">
        <v>6145</v>
      </c>
      <c r="O17" s="2" t="s">
        <v>122</v>
      </c>
    </row>
    <row r="18" spans="1:15" x14ac:dyDescent="0.3">
      <c r="A18">
        <v>1016</v>
      </c>
      <c r="B18" s="1">
        <v>44990</v>
      </c>
      <c r="C18" s="2" t="s">
        <v>30</v>
      </c>
      <c r="D18" s="2" t="s">
        <v>7</v>
      </c>
      <c r="E18" s="2" t="s">
        <v>113</v>
      </c>
      <c r="F18" s="2" t="s">
        <v>63</v>
      </c>
      <c r="G18">
        <v>1</v>
      </c>
      <c r="H18">
        <v>0</v>
      </c>
      <c r="I18" s="2" t="s">
        <v>97</v>
      </c>
      <c r="J18" s="2" t="s">
        <v>77</v>
      </c>
      <c r="K18">
        <v>4500</v>
      </c>
      <c r="L18">
        <v>320</v>
      </c>
      <c r="M18" s="2" t="s">
        <v>8</v>
      </c>
      <c r="N18">
        <v>4180</v>
      </c>
      <c r="O18" s="2" t="s">
        <v>122</v>
      </c>
    </row>
    <row r="19" spans="1:15" x14ac:dyDescent="0.3">
      <c r="A19">
        <v>1017</v>
      </c>
      <c r="B19" s="1">
        <v>44995</v>
      </c>
      <c r="C19" s="2" t="s">
        <v>31</v>
      </c>
      <c r="D19" s="2" t="s">
        <v>10</v>
      </c>
      <c r="E19" s="2" t="s">
        <v>114</v>
      </c>
      <c r="F19" s="2" t="s">
        <v>64</v>
      </c>
      <c r="G19">
        <v>3</v>
      </c>
      <c r="H19">
        <v>0.2</v>
      </c>
      <c r="I19" s="2" t="s">
        <v>98</v>
      </c>
      <c r="J19" s="2" t="s">
        <v>83</v>
      </c>
      <c r="K19">
        <v>2200</v>
      </c>
      <c r="L19">
        <v>280</v>
      </c>
      <c r="M19" s="2" t="s">
        <v>6</v>
      </c>
      <c r="N19">
        <v>5000</v>
      </c>
      <c r="O19" s="2" t="s">
        <v>122</v>
      </c>
    </row>
    <row r="20" spans="1:15" x14ac:dyDescent="0.3">
      <c r="A20">
        <v>1018</v>
      </c>
      <c r="B20" s="1">
        <v>45000</v>
      </c>
      <c r="C20" s="2" t="s">
        <v>32</v>
      </c>
      <c r="D20" s="2" t="s">
        <v>5</v>
      </c>
      <c r="E20" s="2" t="s">
        <v>115</v>
      </c>
      <c r="F20" s="2" t="s">
        <v>65</v>
      </c>
      <c r="G20">
        <v>1</v>
      </c>
      <c r="H20">
        <v>0</v>
      </c>
      <c r="I20" s="2" t="s">
        <v>99</v>
      </c>
      <c r="J20" s="2" t="s">
        <v>93</v>
      </c>
      <c r="K20">
        <v>1300</v>
      </c>
      <c r="L20">
        <v>550</v>
      </c>
      <c r="M20" s="2" t="s">
        <v>6</v>
      </c>
      <c r="N20">
        <v>750</v>
      </c>
      <c r="O20" s="2" t="s">
        <v>122</v>
      </c>
    </row>
    <row r="21" spans="1:15" x14ac:dyDescent="0.3">
      <c r="A21">
        <v>1019</v>
      </c>
      <c r="B21" s="1">
        <v>45005</v>
      </c>
      <c r="C21" s="2" t="s">
        <v>33</v>
      </c>
      <c r="D21" s="2" t="s">
        <v>12</v>
      </c>
      <c r="E21" s="2" t="s">
        <v>113</v>
      </c>
      <c r="F21" s="2" t="s">
        <v>66</v>
      </c>
      <c r="G21">
        <v>1</v>
      </c>
      <c r="H21">
        <v>0.1</v>
      </c>
      <c r="I21" s="2" t="s">
        <v>100</v>
      </c>
      <c r="J21" s="2" t="s">
        <v>77</v>
      </c>
      <c r="K21">
        <v>2800</v>
      </c>
      <c r="L21">
        <v>380</v>
      </c>
      <c r="M21" s="2" t="s">
        <v>6</v>
      </c>
      <c r="N21">
        <v>2140</v>
      </c>
      <c r="O21" s="2" t="s">
        <v>122</v>
      </c>
    </row>
    <row r="22" spans="1:15" x14ac:dyDescent="0.3">
      <c r="A22">
        <v>1020</v>
      </c>
      <c r="B22" s="1">
        <v>45010</v>
      </c>
      <c r="C22" s="2" t="s">
        <v>34</v>
      </c>
      <c r="D22" s="2" t="s">
        <v>13</v>
      </c>
      <c r="E22" s="2" t="s">
        <v>114</v>
      </c>
      <c r="F22" s="2" t="s">
        <v>67</v>
      </c>
      <c r="G22">
        <v>1</v>
      </c>
      <c r="H22">
        <v>0.05</v>
      </c>
      <c r="I22" s="2" t="s">
        <v>101</v>
      </c>
      <c r="J22" s="2" t="s">
        <v>77</v>
      </c>
      <c r="K22">
        <v>3200</v>
      </c>
      <c r="L22">
        <v>950</v>
      </c>
      <c r="M22" s="2" t="s">
        <v>8</v>
      </c>
      <c r="N22">
        <v>2090</v>
      </c>
      <c r="O22" s="2" t="s">
        <v>122</v>
      </c>
    </row>
    <row r="23" spans="1:15" x14ac:dyDescent="0.3">
      <c r="A23">
        <v>1021</v>
      </c>
      <c r="B23" s="1">
        <v>45017</v>
      </c>
      <c r="C23" s="2" t="s">
        <v>35</v>
      </c>
      <c r="D23" s="2" t="s">
        <v>11</v>
      </c>
      <c r="E23" s="2" t="s">
        <v>115</v>
      </c>
      <c r="F23" s="2" t="s">
        <v>68</v>
      </c>
      <c r="G23">
        <v>1</v>
      </c>
      <c r="H23">
        <v>0</v>
      </c>
      <c r="I23" s="2" t="s">
        <v>102</v>
      </c>
      <c r="J23" s="2" t="s">
        <v>77</v>
      </c>
      <c r="K23">
        <v>8900</v>
      </c>
      <c r="L23">
        <v>420</v>
      </c>
      <c r="M23" s="2" t="s">
        <v>6</v>
      </c>
      <c r="N23">
        <v>8480</v>
      </c>
      <c r="O23" s="2" t="s">
        <v>120</v>
      </c>
    </row>
    <row r="24" spans="1:15" x14ac:dyDescent="0.3">
      <c r="A24">
        <v>1022</v>
      </c>
      <c r="B24" s="1">
        <v>45021</v>
      </c>
      <c r="C24" s="2" t="s">
        <v>36</v>
      </c>
      <c r="D24" s="2" t="s">
        <v>9</v>
      </c>
      <c r="E24" s="2" t="s">
        <v>113</v>
      </c>
      <c r="F24" s="2" t="s">
        <v>69</v>
      </c>
      <c r="G24">
        <v>1</v>
      </c>
      <c r="H24">
        <v>0.15</v>
      </c>
      <c r="I24" s="2" t="s">
        <v>103</v>
      </c>
      <c r="J24" s="2" t="s">
        <v>77</v>
      </c>
      <c r="K24">
        <v>3800</v>
      </c>
      <c r="L24">
        <v>190</v>
      </c>
      <c r="M24" s="2" t="s">
        <v>6</v>
      </c>
      <c r="N24">
        <v>3040</v>
      </c>
      <c r="O24" s="2" t="s">
        <v>120</v>
      </c>
    </row>
    <row r="25" spans="1:15" x14ac:dyDescent="0.3">
      <c r="A25">
        <v>1023</v>
      </c>
      <c r="B25" s="1">
        <v>45026</v>
      </c>
      <c r="C25" s="2" t="s">
        <v>37</v>
      </c>
      <c r="D25" s="2" t="s">
        <v>7</v>
      </c>
      <c r="E25" s="2" t="s">
        <v>114</v>
      </c>
      <c r="F25" s="2" t="s">
        <v>70</v>
      </c>
      <c r="G25">
        <v>1</v>
      </c>
      <c r="H25">
        <v>0</v>
      </c>
      <c r="I25" s="2" t="s">
        <v>104</v>
      </c>
      <c r="J25" s="2" t="s">
        <v>77</v>
      </c>
      <c r="K25">
        <v>2900</v>
      </c>
      <c r="L25">
        <v>310</v>
      </c>
      <c r="M25" s="2" t="s">
        <v>6</v>
      </c>
      <c r="N25">
        <v>2590</v>
      </c>
      <c r="O25" s="2" t="s">
        <v>120</v>
      </c>
    </row>
    <row r="26" spans="1:15" x14ac:dyDescent="0.3">
      <c r="A26">
        <v>1024</v>
      </c>
      <c r="B26" s="1">
        <v>45031</v>
      </c>
      <c r="C26" s="2" t="s">
        <v>38</v>
      </c>
      <c r="D26" s="2" t="s">
        <v>10</v>
      </c>
      <c r="E26" s="2" t="s">
        <v>115</v>
      </c>
      <c r="F26" s="2" t="s">
        <v>71</v>
      </c>
      <c r="G26">
        <v>1</v>
      </c>
      <c r="H26">
        <v>0.1</v>
      </c>
      <c r="I26" s="2" t="s">
        <v>105</v>
      </c>
      <c r="J26" s="2" t="s">
        <v>77</v>
      </c>
      <c r="K26">
        <v>3400</v>
      </c>
      <c r="L26">
        <v>260</v>
      </c>
      <c r="M26" s="2" t="s">
        <v>8</v>
      </c>
      <c r="N26">
        <v>2800</v>
      </c>
      <c r="O26" s="2" t="s">
        <v>120</v>
      </c>
    </row>
    <row r="27" spans="1:15" x14ac:dyDescent="0.3">
      <c r="A27">
        <v>1025</v>
      </c>
      <c r="B27" s="1">
        <v>45036</v>
      </c>
      <c r="C27" s="2" t="s">
        <v>39</v>
      </c>
      <c r="D27" s="2" t="s">
        <v>5</v>
      </c>
      <c r="E27" s="2" t="s">
        <v>113</v>
      </c>
      <c r="F27" s="2" t="s">
        <v>72</v>
      </c>
      <c r="G27">
        <v>1</v>
      </c>
      <c r="H27">
        <v>0.05</v>
      </c>
      <c r="I27" s="2" t="s">
        <v>106</v>
      </c>
      <c r="J27" s="2" t="s">
        <v>77</v>
      </c>
      <c r="K27">
        <v>5600</v>
      </c>
      <c r="L27">
        <v>580</v>
      </c>
      <c r="M27" s="2" t="s">
        <v>6</v>
      </c>
      <c r="N27">
        <v>4740</v>
      </c>
      <c r="O27" s="2" t="s">
        <v>120</v>
      </c>
    </row>
    <row r="28" spans="1:15" x14ac:dyDescent="0.3">
      <c r="A28">
        <v>1027</v>
      </c>
      <c r="B28" s="1">
        <v>45047</v>
      </c>
      <c r="C28" s="2" t="s">
        <v>41</v>
      </c>
      <c r="D28" s="2" t="s">
        <v>13</v>
      </c>
      <c r="E28" s="2" t="s">
        <v>115</v>
      </c>
      <c r="F28" s="2" t="s">
        <v>49</v>
      </c>
      <c r="G28">
        <v>1</v>
      </c>
      <c r="H28">
        <v>0.1</v>
      </c>
      <c r="I28" s="2" t="s">
        <v>78</v>
      </c>
      <c r="J28" s="2" t="s">
        <v>77</v>
      </c>
      <c r="K28">
        <v>45000</v>
      </c>
      <c r="L28">
        <v>1100</v>
      </c>
      <c r="M28" s="2" t="s">
        <v>6</v>
      </c>
      <c r="N28">
        <v>39400</v>
      </c>
      <c r="O28" s="2" t="s">
        <v>123</v>
      </c>
    </row>
    <row r="29" spans="1:15" x14ac:dyDescent="0.3">
      <c r="A29">
        <v>1028</v>
      </c>
      <c r="B29" s="1">
        <v>45051</v>
      </c>
      <c r="C29" s="2" t="s">
        <v>42</v>
      </c>
      <c r="D29" s="2" t="s">
        <v>11</v>
      </c>
      <c r="E29" s="2" t="s">
        <v>113</v>
      </c>
      <c r="F29" s="2" t="s">
        <v>50</v>
      </c>
      <c r="G29">
        <v>2</v>
      </c>
      <c r="H29">
        <v>0</v>
      </c>
      <c r="I29" s="2" t="s">
        <v>79</v>
      </c>
      <c r="J29" s="2" t="s">
        <v>80</v>
      </c>
      <c r="K29">
        <v>500</v>
      </c>
      <c r="L29">
        <v>470</v>
      </c>
      <c r="M29" s="2" t="s">
        <v>8</v>
      </c>
      <c r="N29">
        <v>530</v>
      </c>
      <c r="O29" s="2" t="s">
        <v>123</v>
      </c>
    </row>
    <row r="30" spans="1:15" x14ac:dyDescent="0.3">
      <c r="A30">
        <v>1029</v>
      </c>
      <c r="B30" s="1">
        <v>45056</v>
      </c>
      <c r="C30" s="2" t="s">
        <v>43</v>
      </c>
      <c r="D30" s="2" t="s">
        <v>9</v>
      </c>
      <c r="E30" s="2" t="s">
        <v>114</v>
      </c>
      <c r="F30" s="2" t="s">
        <v>51</v>
      </c>
      <c r="G30">
        <v>1</v>
      </c>
      <c r="H30">
        <v>0.15</v>
      </c>
      <c r="I30" s="2" t="s">
        <v>81</v>
      </c>
      <c r="J30" s="2" t="s">
        <v>77</v>
      </c>
      <c r="K30">
        <v>8000</v>
      </c>
      <c r="L30">
        <v>210</v>
      </c>
      <c r="M30" s="2" t="s">
        <v>6</v>
      </c>
      <c r="N30">
        <v>6590</v>
      </c>
      <c r="O30" s="2" t="s">
        <v>123</v>
      </c>
    </row>
    <row r="31" spans="1:15" x14ac:dyDescent="0.3">
      <c r="A31">
        <v>1030</v>
      </c>
      <c r="B31" s="1">
        <v>45061</v>
      </c>
      <c r="C31" s="2" t="s">
        <v>44</v>
      </c>
      <c r="D31" s="2" t="s">
        <v>7</v>
      </c>
      <c r="E31" s="2" t="s">
        <v>115</v>
      </c>
      <c r="F31" s="2" t="s">
        <v>52</v>
      </c>
      <c r="G31">
        <v>3</v>
      </c>
      <c r="H31">
        <v>0</v>
      </c>
      <c r="I31" s="2" t="s">
        <v>82</v>
      </c>
      <c r="J31" s="2" t="s">
        <v>83</v>
      </c>
      <c r="K31">
        <v>350</v>
      </c>
      <c r="L31">
        <v>290</v>
      </c>
      <c r="M31" s="2" t="s">
        <v>6</v>
      </c>
      <c r="N31">
        <v>760</v>
      </c>
      <c r="O31" s="2" t="s">
        <v>123</v>
      </c>
    </row>
    <row r="32" spans="1:15" x14ac:dyDescent="0.3">
      <c r="A32">
        <v>1031</v>
      </c>
      <c r="B32" s="1">
        <v>45066</v>
      </c>
      <c r="C32" s="2"/>
      <c r="D32" s="2" t="s">
        <v>10</v>
      </c>
      <c r="E32" s="2"/>
      <c r="F32" s="2" t="s">
        <v>53</v>
      </c>
      <c r="G32">
        <v>1</v>
      </c>
      <c r="H32">
        <v>0.05</v>
      </c>
      <c r="I32" s="2" t="s">
        <v>84</v>
      </c>
      <c r="J32" s="2" t="s">
        <v>77</v>
      </c>
      <c r="K32">
        <v>32000</v>
      </c>
      <c r="L32">
        <v>340</v>
      </c>
      <c r="M32" s="2" t="s">
        <v>6</v>
      </c>
      <c r="N32">
        <v>30060</v>
      </c>
      <c r="O32" s="2" t="s">
        <v>123</v>
      </c>
    </row>
    <row r="33" spans="1:15" x14ac:dyDescent="0.3">
      <c r="A33">
        <v>1032</v>
      </c>
      <c r="B33" s="1">
        <v>45071</v>
      </c>
      <c r="C33" s="2"/>
      <c r="D33" s="2" t="s">
        <v>5</v>
      </c>
      <c r="E33" s="2"/>
      <c r="F33" s="2" t="s">
        <v>54</v>
      </c>
      <c r="G33">
        <v>1</v>
      </c>
      <c r="H33">
        <v>0.2</v>
      </c>
      <c r="I33" s="2" t="s">
        <v>85</v>
      </c>
      <c r="J33" s="2" t="s">
        <v>86</v>
      </c>
      <c r="K33">
        <v>1500</v>
      </c>
      <c r="L33">
        <v>620</v>
      </c>
      <c r="M33" s="2" t="s">
        <v>8</v>
      </c>
      <c r="N33">
        <v>580</v>
      </c>
      <c r="O33" s="2" t="s">
        <v>123</v>
      </c>
    </row>
    <row r="34" spans="1:15" x14ac:dyDescent="0.3">
      <c r="A34">
        <v>1033</v>
      </c>
      <c r="B34" s="1">
        <v>45078</v>
      </c>
      <c r="C34" s="2"/>
      <c r="D34" s="2" t="s">
        <v>12</v>
      </c>
      <c r="E34" s="2"/>
      <c r="F34" s="2" t="s">
        <v>55</v>
      </c>
      <c r="G34">
        <v>1</v>
      </c>
      <c r="H34">
        <v>0.1</v>
      </c>
      <c r="I34" s="2" t="s">
        <v>87</v>
      </c>
      <c r="J34" s="2" t="s">
        <v>88</v>
      </c>
      <c r="K34">
        <v>12000</v>
      </c>
      <c r="L34">
        <v>370</v>
      </c>
      <c r="M34" s="2" t="s">
        <v>6</v>
      </c>
      <c r="N34">
        <v>10430</v>
      </c>
      <c r="O34" s="2" t="s">
        <v>124</v>
      </c>
    </row>
    <row r="35" spans="1:15" x14ac:dyDescent="0.3">
      <c r="A35">
        <v>1034</v>
      </c>
      <c r="B35" s="1">
        <v>45082</v>
      </c>
      <c r="C35" s="2"/>
      <c r="D35" s="2" t="s">
        <v>13</v>
      </c>
      <c r="E35" s="2"/>
      <c r="F35" s="2" t="s">
        <v>56</v>
      </c>
      <c r="G35">
        <v>1</v>
      </c>
      <c r="H35">
        <v>0</v>
      </c>
      <c r="I35" s="2" t="s">
        <v>89</v>
      </c>
      <c r="J35" s="2" t="s">
        <v>77</v>
      </c>
      <c r="K35">
        <v>30000</v>
      </c>
      <c r="L35">
        <v>1050</v>
      </c>
      <c r="M35" s="2" t="s">
        <v>6</v>
      </c>
      <c r="N35">
        <v>28950</v>
      </c>
      <c r="O35" s="2" t="s">
        <v>124</v>
      </c>
    </row>
    <row r="36" spans="1:15" x14ac:dyDescent="0.3">
      <c r="A36">
        <v>1035</v>
      </c>
      <c r="B36" s="1">
        <v>45087</v>
      </c>
      <c r="C36" s="2"/>
      <c r="D36" s="2" t="s">
        <v>11</v>
      </c>
      <c r="E36" s="2"/>
      <c r="F36" s="2" t="s">
        <v>57</v>
      </c>
      <c r="G36">
        <v>1</v>
      </c>
      <c r="H36">
        <v>0.05</v>
      </c>
      <c r="I36" s="2" t="s">
        <v>90</v>
      </c>
      <c r="J36" s="2" t="s">
        <v>77</v>
      </c>
      <c r="K36">
        <v>2500</v>
      </c>
      <c r="L36">
        <v>440</v>
      </c>
      <c r="M36" s="2" t="s">
        <v>6</v>
      </c>
      <c r="N36">
        <v>1935</v>
      </c>
      <c r="O36" s="2" t="s">
        <v>124</v>
      </c>
    </row>
    <row r="37" spans="1:15" x14ac:dyDescent="0.3">
      <c r="A37">
        <v>1036</v>
      </c>
      <c r="B37" s="1">
        <v>45092</v>
      </c>
      <c r="C37" s="2"/>
      <c r="D37" s="2" t="s">
        <v>9</v>
      </c>
      <c r="E37" s="2"/>
      <c r="F37" s="2" t="s">
        <v>58</v>
      </c>
      <c r="G37">
        <v>2</v>
      </c>
      <c r="H37">
        <v>0</v>
      </c>
      <c r="I37" s="2" t="s">
        <v>91</v>
      </c>
      <c r="J37" s="2" t="s">
        <v>77</v>
      </c>
      <c r="K37">
        <v>1200</v>
      </c>
      <c r="L37">
        <v>230</v>
      </c>
      <c r="M37" s="2" t="s">
        <v>8</v>
      </c>
      <c r="N37">
        <v>2170</v>
      </c>
      <c r="O37" s="2" t="s">
        <v>124</v>
      </c>
    </row>
    <row r="38" spans="1:15" x14ac:dyDescent="0.3">
      <c r="A38">
        <v>1037</v>
      </c>
      <c r="B38" s="1">
        <v>45097</v>
      </c>
      <c r="C38" s="2"/>
      <c r="D38" s="2" t="s">
        <v>7</v>
      </c>
      <c r="E38" s="2"/>
      <c r="F38" s="2" t="s">
        <v>59</v>
      </c>
      <c r="G38">
        <v>1</v>
      </c>
      <c r="H38">
        <v>0.15</v>
      </c>
      <c r="I38" s="2" t="s">
        <v>92</v>
      </c>
      <c r="J38" s="2" t="s">
        <v>93</v>
      </c>
      <c r="K38">
        <v>3500</v>
      </c>
      <c r="L38">
        <v>270</v>
      </c>
      <c r="M38" s="2" t="s">
        <v>6</v>
      </c>
      <c r="N38">
        <v>2705</v>
      </c>
      <c r="O38" s="2" t="s">
        <v>124</v>
      </c>
    </row>
    <row r="39" spans="1:15" x14ac:dyDescent="0.3">
      <c r="A39">
        <v>1038</v>
      </c>
      <c r="B39" s="1">
        <v>45102</v>
      </c>
      <c r="C39" s="2"/>
      <c r="D39" s="2" t="s">
        <v>10</v>
      </c>
      <c r="E39" s="2"/>
      <c r="F39" s="2" t="s">
        <v>60</v>
      </c>
      <c r="G39">
        <v>1</v>
      </c>
      <c r="H39">
        <v>0.1</v>
      </c>
      <c r="I39" s="2" t="s">
        <v>94</v>
      </c>
      <c r="J39" s="2" t="s">
        <v>93</v>
      </c>
      <c r="K39">
        <v>8900</v>
      </c>
      <c r="L39">
        <v>390</v>
      </c>
      <c r="M39" s="2" t="s">
        <v>6</v>
      </c>
      <c r="N39">
        <v>7620</v>
      </c>
      <c r="O39" s="2" t="s">
        <v>124</v>
      </c>
    </row>
    <row r="40" spans="1:15" x14ac:dyDescent="0.3">
      <c r="A40">
        <v>1039</v>
      </c>
      <c r="B40" s="1">
        <v>45108</v>
      </c>
      <c r="C40" s="2"/>
      <c r="D40" s="2" t="s">
        <v>5</v>
      </c>
      <c r="E40" s="2"/>
      <c r="F40" s="2" t="s">
        <v>61</v>
      </c>
      <c r="G40">
        <v>1</v>
      </c>
      <c r="H40">
        <v>0</v>
      </c>
      <c r="I40" s="2" t="s">
        <v>95</v>
      </c>
      <c r="J40" s="2" t="s">
        <v>77</v>
      </c>
      <c r="K40">
        <v>15000</v>
      </c>
      <c r="L40">
        <v>650</v>
      </c>
      <c r="M40" s="2" t="s">
        <v>6</v>
      </c>
      <c r="N40">
        <v>14350</v>
      </c>
      <c r="O40" s="2" t="s">
        <v>125</v>
      </c>
    </row>
    <row r="41" spans="1:15" x14ac:dyDescent="0.3">
      <c r="A41">
        <v>1040</v>
      </c>
      <c r="B41" s="1">
        <v>45112</v>
      </c>
      <c r="C41" s="2"/>
      <c r="D41" s="2" t="s">
        <v>12</v>
      </c>
      <c r="E41" s="2"/>
      <c r="F41" s="2" t="s">
        <v>62</v>
      </c>
      <c r="G41">
        <v>1</v>
      </c>
      <c r="H41">
        <v>0.05</v>
      </c>
      <c r="I41" s="2" t="s">
        <v>96</v>
      </c>
      <c r="J41" s="2" t="s">
        <v>77</v>
      </c>
      <c r="K41">
        <v>6700</v>
      </c>
      <c r="L41">
        <v>410</v>
      </c>
      <c r="M41" s="2" t="s">
        <v>8</v>
      </c>
      <c r="N41">
        <v>5955</v>
      </c>
      <c r="O41" s="2" t="s">
        <v>125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5BD8-38AA-4B0A-9139-3643FAA87ECD}">
  <dimension ref="A1:D7"/>
  <sheetViews>
    <sheetView workbookViewId="0">
      <selection activeCell="L4" sqref="L4"/>
    </sheetView>
  </sheetViews>
  <sheetFormatPr defaultRowHeight="14.4" x14ac:dyDescent="0.3"/>
  <cols>
    <col min="1" max="1" width="14.88671875" bestFit="1" customWidth="1"/>
    <col min="2" max="2" width="17.33203125" bestFit="1" customWidth="1"/>
    <col min="3" max="3" width="14.77734375" bestFit="1" customWidth="1"/>
    <col min="4" max="4" width="22.21875" bestFit="1" customWidth="1"/>
  </cols>
  <sheetData>
    <row r="1" spans="1:4" x14ac:dyDescent="0.3">
      <c r="A1" t="s">
        <v>74</v>
      </c>
      <c r="B1" t="s">
        <v>109</v>
      </c>
      <c r="C1" t="s">
        <v>110</v>
      </c>
      <c r="D1" t="s">
        <v>111</v>
      </c>
    </row>
    <row r="2" spans="1:4" x14ac:dyDescent="0.3">
      <c r="A2" s="2" t="s">
        <v>77</v>
      </c>
      <c r="B2">
        <v>475060</v>
      </c>
      <c r="C2">
        <v>18271.538461538461</v>
      </c>
      <c r="D2">
        <v>26</v>
      </c>
    </row>
    <row r="3" spans="1:4" x14ac:dyDescent="0.3">
      <c r="A3" s="2" t="s">
        <v>80</v>
      </c>
      <c r="B3">
        <v>1830</v>
      </c>
      <c r="C3">
        <v>915</v>
      </c>
      <c r="D3">
        <v>2</v>
      </c>
    </row>
    <row r="4" spans="1:4" x14ac:dyDescent="0.3">
      <c r="A4" s="2" t="s">
        <v>83</v>
      </c>
      <c r="B4">
        <v>7360</v>
      </c>
      <c r="C4">
        <v>2453.3333333333335</v>
      </c>
      <c r="D4">
        <v>3</v>
      </c>
    </row>
    <row r="5" spans="1:4" x14ac:dyDescent="0.3">
      <c r="A5" s="2" t="s">
        <v>86</v>
      </c>
      <c r="B5">
        <v>2780</v>
      </c>
      <c r="C5">
        <v>1390</v>
      </c>
      <c r="D5">
        <v>2</v>
      </c>
    </row>
    <row r="6" spans="1:4" x14ac:dyDescent="0.3">
      <c r="A6" s="2" t="s">
        <v>88</v>
      </c>
      <c r="B6">
        <v>20430</v>
      </c>
      <c r="C6">
        <v>10215</v>
      </c>
      <c r="D6">
        <v>2</v>
      </c>
    </row>
    <row r="7" spans="1:4" x14ac:dyDescent="0.3">
      <c r="A7" s="2" t="s">
        <v>93</v>
      </c>
      <c r="B7">
        <v>23655</v>
      </c>
      <c r="C7">
        <v>4731</v>
      </c>
      <c r="D7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E409-10C8-4973-B3CB-AACEFF17514D}">
  <dimension ref="A1:B6"/>
  <sheetViews>
    <sheetView workbookViewId="0">
      <selection activeCell="C2" sqref="C2"/>
    </sheetView>
  </sheetViews>
  <sheetFormatPr defaultRowHeight="14.4" x14ac:dyDescent="0.3"/>
  <cols>
    <col min="1" max="1" width="9.77734375" bestFit="1" customWidth="1"/>
    <col min="2" max="2" width="10.21875" bestFit="1" customWidth="1"/>
  </cols>
  <sheetData>
    <row r="1" spans="1:2" x14ac:dyDescent="0.3">
      <c r="A1" t="s">
        <v>73</v>
      </c>
      <c r="B1" t="s">
        <v>107</v>
      </c>
    </row>
    <row r="2" spans="1:2" x14ac:dyDescent="0.3">
      <c r="A2" s="2" t="s">
        <v>78</v>
      </c>
      <c r="B2">
        <v>80700</v>
      </c>
    </row>
    <row r="3" spans="1:2" x14ac:dyDescent="0.3">
      <c r="A3" s="2" t="s">
        <v>76</v>
      </c>
      <c r="B3">
        <v>74670</v>
      </c>
    </row>
    <row r="4" spans="1:2" x14ac:dyDescent="0.3">
      <c r="A4" s="2" t="s">
        <v>76</v>
      </c>
      <c r="B4">
        <v>70750</v>
      </c>
    </row>
    <row r="5" spans="1:2" x14ac:dyDescent="0.3">
      <c r="A5" s="2" t="s">
        <v>78</v>
      </c>
      <c r="B5">
        <v>39400</v>
      </c>
    </row>
    <row r="6" spans="1:2" x14ac:dyDescent="0.3">
      <c r="A6" s="2" t="s">
        <v>84</v>
      </c>
      <c r="B6">
        <v>30060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E7FD-8747-4CF4-88BF-863829EAD5F9}">
  <dimension ref="A1:C11"/>
  <sheetViews>
    <sheetView workbookViewId="0">
      <selection sqref="A1:C11"/>
    </sheetView>
  </sheetViews>
  <sheetFormatPr defaultRowHeight="14.4" x14ac:dyDescent="0.3"/>
  <cols>
    <col min="1" max="1" width="16.44140625" bestFit="1" customWidth="1"/>
    <col min="2" max="2" width="9.77734375" bestFit="1" customWidth="1"/>
    <col min="3" max="3" width="10.21875" bestFit="1" customWidth="1"/>
  </cols>
  <sheetData>
    <row r="1" spans="1:3" x14ac:dyDescent="0.3">
      <c r="A1" t="s">
        <v>14</v>
      </c>
      <c r="B1" t="s">
        <v>0</v>
      </c>
      <c r="C1" t="s">
        <v>107</v>
      </c>
    </row>
    <row r="2" spans="1:3" x14ac:dyDescent="0.3">
      <c r="A2" s="2" t="s">
        <v>15</v>
      </c>
      <c r="B2">
        <v>1001</v>
      </c>
      <c r="C2">
        <v>70750</v>
      </c>
    </row>
    <row r="3" spans="1:3" x14ac:dyDescent="0.3">
      <c r="A3" s="2" t="s">
        <v>18</v>
      </c>
      <c r="B3">
        <v>1004</v>
      </c>
      <c r="C3">
        <v>6550</v>
      </c>
    </row>
    <row r="4" spans="1:3" x14ac:dyDescent="0.3">
      <c r="A4" s="2" t="s">
        <v>20</v>
      </c>
      <c r="B4">
        <v>1006</v>
      </c>
      <c r="C4">
        <v>30000</v>
      </c>
    </row>
    <row r="5" spans="1:3" x14ac:dyDescent="0.3">
      <c r="A5" s="2" t="s">
        <v>42</v>
      </c>
      <c r="B5">
        <v>1028</v>
      </c>
      <c r="C5">
        <v>530</v>
      </c>
    </row>
    <row r="6" spans="1:3" x14ac:dyDescent="0.3">
      <c r="A6" s="2" t="s">
        <v>23</v>
      </c>
      <c r="B6">
        <v>1009</v>
      </c>
      <c r="C6">
        <v>29400</v>
      </c>
    </row>
    <row r="7" spans="1:3" x14ac:dyDescent="0.3">
      <c r="A7" s="2" t="s">
        <v>27</v>
      </c>
      <c r="B7">
        <v>1013</v>
      </c>
      <c r="C7">
        <v>7830</v>
      </c>
    </row>
    <row r="8" spans="1:3" x14ac:dyDescent="0.3">
      <c r="A8" s="2" t="s">
        <v>30</v>
      </c>
      <c r="B8">
        <v>1016</v>
      </c>
      <c r="C8">
        <v>4180</v>
      </c>
    </row>
    <row r="9" spans="1:3" x14ac:dyDescent="0.3">
      <c r="A9" s="2" t="s">
        <v>33</v>
      </c>
      <c r="B9">
        <v>1019</v>
      </c>
      <c r="C9">
        <v>2140</v>
      </c>
    </row>
    <row r="10" spans="1:3" x14ac:dyDescent="0.3">
      <c r="A10" s="2" t="s">
        <v>36</v>
      </c>
      <c r="B10">
        <v>1022</v>
      </c>
      <c r="C10">
        <v>3040</v>
      </c>
    </row>
    <row r="11" spans="1:3" x14ac:dyDescent="0.3">
      <c r="A11" s="2" t="s">
        <v>39</v>
      </c>
      <c r="B11">
        <v>1025</v>
      </c>
      <c r="C11">
        <v>4740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2DC6-BFFA-4CAB-82C8-49735E2EB21D}">
  <dimension ref="A1:C10"/>
  <sheetViews>
    <sheetView workbookViewId="0">
      <selection sqref="A1:C10"/>
    </sheetView>
  </sheetViews>
  <sheetFormatPr defaultRowHeight="14.4" x14ac:dyDescent="0.3"/>
  <cols>
    <col min="1" max="1" width="16.44140625" bestFit="1" customWidth="1"/>
    <col min="2" max="2" width="9.77734375" bestFit="1" customWidth="1"/>
    <col min="3" max="3" width="10.21875" bestFit="1" customWidth="1"/>
  </cols>
  <sheetData>
    <row r="1" spans="1:3" x14ac:dyDescent="0.3">
      <c r="A1" t="s">
        <v>14</v>
      </c>
      <c r="B1" t="s">
        <v>0</v>
      </c>
      <c r="C1" t="s">
        <v>107</v>
      </c>
    </row>
    <row r="2" spans="1:3" x14ac:dyDescent="0.3">
      <c r="A2" s="2" t="s">
        <v>17</v>
      </c>
      <c r="B2">
        <v>1003</v>
      </c>
      <c r="C2">
        <v>1300</v>
      </c>
    </row>
    <row r="3" spans="1:3" x14ac:dyDescent="0.3">
      <c r="A3" s="2" t="s">
        <v>21</v>
      </c>
      <c r="B3">
        <v>1007</v>
      </c>
      <c r="C3">
        <v>2200</v>
      </c>
    </row>
    <row r="4" spans="1:3" x14ac:dyDescent="0.3">
      <c r="A4" s="2" t="s">
        <v>41</v>
      </c>
      <c r="B4">
        <v>1027</v>
      </c>
      <c r="C4">
        <v>39400</v>
      </c>
    </row>
    <row r="5" spans="1:3" x14ac:dyDescent="0.3">
      <c r="A5" s="2" t="s">
        <v>44</v>
      </c>
      <c r="B5">
        <v>1030</v>
      </c>
      <c r="C5">
        <v>760</v>
      </c>
    </row>
    <row r="6" spans="1:3" x14ac:dyDescent="0.3">
      <c r="A6" s="2" t="s">
        <v>25</v>
      </c>
      <c r="B6">
        <v>1011</v>
      </c>
      <c r="C6">
        <v>850</v>
      </c>
    </row>
    <row r="7" spans="1:3" x14ac:dyDescent="0.3">
      <c r="A7" s="2" t="s">
        <v>29</v>
      </c>
      <c r="B7">
        <v>1015</v>
      </c>
      <c r="C7">
        <v>6145</v>
      </c>
    </row>
    <row r="8" spans="1:3" x14ac:dyDescent="0.3">
      <c r="A8" s="2" t="s">
        <v>32</v>
      </c>
      <c r="B8">
        <v>1018</v>
      </c>
      <c r="C8">
        <v>750</v>
      </c>
    </row>
    <row r="9" spans="1:3" x14ac:dyDescent="0.3">
      <c r="A9" s="2" t="s">
        <v>35</v>
      </c>
      <c r="B9">
        <v>1021</v>
      </c>
      <c r="C9">
        <v>8480</v>
      </c>
    </row>
    <row r="10" spans="1:3" x14ac:dyDescent="0.3">
      <c r="A10" s="2" t="s">
        <v>38</v>
      </c>
      <c r="B10">
        <v>1024</v>
      </c>
      <c r="C10">
        <v>2800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BBFB7-AF98-463D-859E-BFAE614D7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Динамика продаж по месяцам</vt:lpstr>
      <vt:lpstr>Сравнение выручки по регионам</vt:lpstr>
      <vt:lpstr>Витрина_Данных</vt:lpstr>
      <vt:lpstr>Продажи_по_категориям</vt:lpstr>
      <vt:lpstr>Топ5_товаров</vt:lpstr>
      <vt:lpstr>VIP_клиенты</vt:lpstr>
      <vt:lpstr>Новые_клиенты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 Clowns</dc:creator>
  <cp:lastModifiedBy>8 Clowns</cp:lastModifiedBy>
  <dcterms:created xsi:type="dcterms:W3CDTF">2026-07-14T15:58:48Z</dcterms:created>
  <dcterms:modified xsi:type="dcterms:W3CDTF">2026-07-14T18:58:37Z</dcterms:modified>
</cp:coreProperties>
</file>